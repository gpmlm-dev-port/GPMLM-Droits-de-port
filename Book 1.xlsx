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vaillant.GPHUB\Documents\GPMLM\SDDEP\Stage\Stage 2026\Travail\DN Poissons\"/>
    </mc:Choice>
  </mc:AlternateContent>
  <xr:revisionPtr revIDLastSave="0" documentId="13_ncr:1_{D00FF74E-1758-47F1-B56C-5E4BF3D292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claration" sheetId="1" r:id="rId1"/>
    <sheet name="Caractéristique navire de pêche" sheetId="2" r:id="rId2"/>
    <sheet name="adres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D2" i="3"/>
  <c r="R2" i="1" a="1"/>
  <c r="R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S2" i="1"/>
  <c r="S3" i="1"/>
  <c r="T2" i="1"/>
  <c r="T3" i="1"/>
  <c r="O2" i="1"/>
  <c r="O3" i="1"/>
  <c r="M2" i="1"/>
  <c r="L2" i="1"/>
  <c r="K2" i="1"/>
  <c r="K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K4" i="1"/>
  <c r="K5" i="1"/>
  <c r="N5" i="1" s="1"/>
  <c r="K6" i="1"/>
  <c r="K7" i="1"/>
  <c r="K8" i="1"/>
  <c r="K9" i="1"/>
  <c r="K10" i="1"/>
  <c r="K11" i="1"/>
  <c r="K12" i="1"/>
  <c r="K13" i="1"/>
  <c r="N13" i="1" s="1"/>
  <c r="K14" i="1"/>
  <c r="K15" i="1"/>
  <c r="K16" i="1"/>
  <c r="K17" i="1"/>
  <c r="K18" i="1"/>
  <c r="N18" i="1" s="1"/>
  <c r="K19" i="1"/>
  <c r="N19" i="1" s="1"/>
  <c r="K20" i="1"/>
  <c r="K21" i="1"/>
  <c r="N21" i="1" s="1"/>
  <c r="K22" i="1"/>
  <c r="K23" i="1"/>
  <c r="K24" i="1"/>
  <c r="K25" i="1"/>
  <c r="K26" i="1"/>
  <c r="N26" i="1" s="1"/>
  <c r="K27" i="1"/>
  <c r="N27" i="1" s="1"/>
  <c r="K28" i="1"/>
  <c r="K29" i="1"/>
  <c r="N29" i="1" s="1"/>
  <c r="K30" i="1"/>
  <c r="K31" i="1"/>
  <c r="K32" i="1"/>
  <c r="K33" i="1"/>
  <c r="K34" i="1"/>
  <c r="N34" i="1" s="1"/>
  <c r="K35" i="1"/>
  <c r="N35" i="1" s="1"/>
  <c r="K36" i="1"/>
  <c r="K37" i="1"/>
  <c r="N37" i="1" s="1"/>
  <c r="K38" i="1"/>
  <c r="N10" i="1" l="1"/>
  <c r="N11" i="1"/>
  <c r="N33" i="1"/>
  <c r="Q33" i="1" s="1"/>
  <c r="N25" i="1"/>
  <c r="Q25" i="1" s="1"/>
  <c r="N17" i="1"/>
  <c r="P17" i="1" s="1"/>
  <c r="N9" i="1"/>
  <c r="P9" i="1" s="1"/>
  <c r="N3" i="1"/>
  <c r="P3" i="1" s="1"/>
  <c r="N2" i="1"/>
  <c r="Q2" i="1" s="1"/>
  <c r="N32" i="1"/>
  <c r="P32" i="1" s="1"/>
  <c r="N24" i="1"/>
  <c r="Q24" i="1" s="1"/>
  <c r="N16" i="1"/>
  <c r="Q16" i="1" s="1"/>
  <c r="N8" i="1"/>
  <c r="P8" i="1" s="1"/>
  <c r="N23" i="1"/>
  <c r="P23" i="1" s="1"/>
  <c r="N15" i="1"/>
  <c r="P15" i="1" s="1"/>
  <c r="N38" i="1"/>
  <c r="Q38" i="1" s="1"/>
  <c r="N22" i="1"/>
  <c r="Q22" i="1" s="1"/>
  <c r="N6" i="1"/>
  <c r="P6" i="1" s="1"/>
  <c r="N31" i="1"/>
  <c r="Q31" i="1" s="1"/>
  <c r="N7" i="1"/>
  <c r="P7" i="1" s="1"/>
  <c r="N30" i="1"/>
  <c r="P30" i="1" s="1"/>
  <c r="N14" i="1"/>
  <c r="P14" i="1" s="1"/>
  <c r="N36" i="1"/>
  <c r="P36" i="1" s="1"/>
  <c r="N28" i="1"/>
  <c r="P28" i="1" s="1"/>
  <c r="N20" i="1"/>
  <c r="P20" i="1" s="1"/>
  <c r="N12" i="1"/>
  <c r="P12" i="1" s="1"/>
  <c r="N4" i="1"/>
  <c r="Q4" i="1" s="1"/>
  <c r="P37" i="1"/>
  <c r="Q37" i="1"/>
  <c r="P35" i="1"/>
  <c r="Q35" i="1"/>
  <c r="P34" i="1"/>
  <c r="Q34" i="1"/>
  <c r="P29" i="1"/>
  <c r="Q29" i="1"/>
  <c r="P27" i="1"/>
  <c r="Q27" i="1"/>
  <c r="P26" i="1"/>
  <c r="Q26" i="1"/>
  <c r="P25" i="1"/>
  <c r="P21" i="1"/>
  <c r="Q21" i="1"/>
  <c r="P19" i="1"/>
  <c r="Q19" i="1"/>
  <c r="P18" i="1"/>
  <c r="Q18" i="1"/>
  <c r="Q17" i="1"/>
  <c r="P13" i="1"/>
  <c r="Q13" i="1"/>
  <c r="P11" i="1"/>
  <c r="Q11" i="1"/>
  <c r="P10" i="1"/>
  <c r="Q10" i="1"/>
  <c r="Q7" i="1"/>
  <c r="P5" i="1"/>
  <c r="Q5" i="1"/>
  <c r="Q9" i="1" l="1"/>
  <c r="P33" i="1"/>
  <c r="P2" i="1"/>
  <c r="Q30" i="1"/>
  <c r="Q3" i="1"/>
  <c r="U3" i="1" s="1"/>
  <c r="V3" i="1" s="1"/>
  <c r="W3" i="1" s="1"/>
  <c r="X3" i="1" s="1"/>
  <c r="P4" i="1"/>
  <c r="U4" i="1" s="1"/>
  <c r="V4" i="1" s="1"/>
  <c r="W4" i="1" s="1"/>
  <c r="X4" i="1" s="1"/>
  <c r="Q6" i="1"/>
  <c r="Q20" i="1"/>
  <c r="U20" i="1" s="1"/>
  <c r="V20" i="1" s="1"/>
  <c r="W20" i="1" s="1"/>
  <c r="X20" i="1" s="1"/>
  <c r="Q32" i="1"/>
  <c r="U32" i="1" s="1"/>
  <c r="V32" i="1" s="1"/>
  <c r="W32" i="1" s="1"/>
  <c r="X32" i="1" s="1"/>
  <c r="Q36" i="1"/>
  <c r="U36" i="1" s="1"/>
  <c r="V36" i="1" s="1"/>
  <c r="W36" i="1" s="1"/>
  <c r="X36" i="1" s="1"/>
  <c r="P16" i="1"/>
  <c r="U16" i="1" s="1"/>
  <c r="V16" i="1" s="1"/>
  <c r="W16" i="1" s="1"/>
  <c r="X16" i="1" s="1"/>
  <c r="Q8" i="1"/>
  <c r="U8" i="1" s="1"/>
  <c r="V8" i="1" s="1"/>
  <c r="W8" i="1" s="1"/>
  <c r="X8" i="1" s="1"/>
  <c r="P31" i="1"/>
  <c r="U31" i="1" s="1"/>
  <c r="V31" i="1" s="1"/>
  <c r="W31" i="1" s="1"/>
  <c r="X31" i="1" s="1"/>
  <c r="Q28" i="1"/>
  <c r="U28" i="1" s="1"/>
  <c r="V28" i="1" s="1"/>
  <c r="W28" i="1" s="1"/>
  <c r="X28" i="1" s="1"/>
  <c r="P24" i="1"/>
  <c r="U24" i="1" s="1"/>
  <c r="V24" i="1" s="1"/>
  <c r="W24" i="1" s="1"/>
  <c r="X24" i="1" s="1"/>
  <c r="Q12" i="1"/>
  <c r="U12" i="1" s="1"/>
  <c r="V12" i="1" s="1"/>
  <c r="W12" i="1" s="1"/>
  <c r="X12" i="1" s="1"/>
  <c r="P22" i="1"/>
  <c r="U22" i="1" s="1"/>
  <c r="V22" i="1" s="1"/>
  <c r="W22" i="1" s="1"/>
  <c r="X22" i="1" s="1"/>
  <c r="P38" i="1"/>
  <c r="U38" i="1" s="1"/>
  <c r="V38" i="1" s="1"/>
  <c r="W38" i="1" s="1"/>
  <c r="X38" i="1" s="1"/>
  <c r="Q23" i="1"/>
  <c r="U23" i="1" s="1"/>
  <c r="V23" i="1" s="1"/>
  <c r="W23" i="1" s="1"/>
  <c r="X23" i="1" s="1"/>
  <c r="Q14" i="1"/>
  <c r="U14" i="1" s="1"/>
  <c r="V14" i="1" s="1"/>
  <c r="W14" i="1" s="1"/>
  <c r="X14" i="1" s="1"/>
  <c r="Q15" i="1"/>
  <c r="U15" i="1" s="1"/>
  <c r="V15" i="1" s="1"/>
  <c r="W15" i="1" s="1"/>
  <c r="X15" i="1" s="1"/>
  <c r="U2" i="1"/>
  <c r="V2" i="1" s="1"/>
  <c r="W2" i="1" s="1"/>
  <c r="X2" i="1" s="1"/>
  <c r="U5" i="1"/>
  <c r="V5" i="1" s="1"/>
  <c r="W5" i="1" s="1"/>
  <c r="X5" i="1" s="1"/>
  <c r="U6" i="1"/>
  <c r="V6" i="1" s="1"/>
  <c r="W6" i="1" s="1"/>
  <c r="X6" i="1" s="1"/>
  <c r="U7" i="1"/>
  <c r="V7" i="1" s="1"/>
  <c r="W7" i="1" s="1"/>
  <c r="X7" i="1" s="1"/>
  <c r="U9" i="1"/>
  <c r="V9" i="1" s="1"/>
  <c r="W9" i="1" s="1"/>
  <c r="X9" i="1" s="1"/>
  <c r="U10" i="1"/>
  <c r="V10" i="1" s="1"/>
  <c r="W10" i="1" s="1"/>
  <c r="X10" i="1" s="1"/>
  <c r="U11" i="1"/>
  <c r="V11" i="1" s="1"/>
  <c r="W11" i="1" s="1"/>
  <c r="X11" i="1" s="1"/>
  <c r="U13" i="1"/>
  <c r="V13" i="1" s="1"/>
  <c r="W13" i="1" s="1"/>
  <c r="X13" i="1" s="1"/>
  <c r="U17" i="1"/>
  <c r="V17" i="1" s="1"/>
  <c r="W17" i="1" s="1"/>
  <c r="X17" i="1" s="1"/>
  <c r="U18" i="1"/>
  <c r="V18" i="1" s="1"/>
  <c r="W18" i="1" s="1"/>
  <c r="X18" i="1" s="1"/>
  <c r="U19" i="1"/>
  <c r="V19" i="1" s="1"/>
  <c r="W19" i="1" s="1"/>
  <c r="X19" i="1" s="1"/>
  <c r="U21" i="1"/>
  <c r="V21" i="1" s="1"/>
  <c r="W21" i="1" s="1"/>
  <c r="X21" i="1" s="1"/>
  <c r="U25" i="1"/>
  <c r="V25" i="1" s="1"/>
  <c r="W25" i="1" s="1"/>
  <c r="X25" i="1" s="1"/>
  <c r="U26" i="1"/>
  <c r="V26" i="1" s="1"/>
  <c r="W26" i="1" s="1"/>
  <c r="X26" i="1" s="1"/>
  <c r="U27" i="1"/>
  <c r="V27" i="1" s="1"/>
  <c r="W27" i="1" s="1"/>
  <c r="X27" i="1" s="1"/>
  <c r="U29" i="1"/>
  <c r="V29" i="1" s="1"/>
  <c r="W29" i="1" s="1"/>
  <c r="X29" i="1" s="1"/>
  <c r="U30" i="1"/>
  <c r="V30" i="1" s="1"/>
  <c r="W30" i="1" s="1"/>
  <c r="X30" i="1" s="1"/>
  <c r="U33" i="1"/>
  <c r="V33" i="1" s="1"/>
  <c r="W33" i="1" s="1"/>
  <c r="X33" i="1" s="1"/>
  <c r="U34" i="1"/>
  <c r="V34" i="1" s="1"/>
  <c r="W34" i="1" s="1"/>
  <c r="X34" i="1" s="1"/>
  <c r="U35" i="1"/>
  <c r="V35" i="1" s="1"/>
  <c r="W35" i="1" s="1"/>
  <c r="X35" i="1" s="1"/>
  <c r="U37" i="1"/>
  <c r="V37" i="1" s="1"/>
  <c r="W37" i="1" s="1"/>
  <c r="X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<sst xmlns="http://schemas.openxmlformats.org/spreadsheetml/2006/main" count="102" uniqueCount="54">
  <si>
    <t xml:space="preserve">Mouvement </t>
  </si>
  <si>
    <t xml:space="preserve">Représentant </t>
  </si>
  <si>
    <t>Adresse du représentant</t>
  </si>
  <si>
    <t>Type du navire</t>
  </si>
  <si>
    <t>Nom du navire</t>
  </si>
  <si>
    <t>Date d'entrée</t>
  </si>
  <si>
    <t xml:space="preserve">Date de sortie </t>
  </si>
  <si>
    <t xml:space="preserve">Provenance </t>
  </si>
  <si>
    <t>Zone DN</t>
  </si>
  <si>
    <t>Tonnage</t>
  </si>
  <si>
    <t xml:space="preserve">Largueur </t>
  </si>
  <si>
    <t xml:space="preserve">Longueur </t>
  </si>
  <si>
    <t xml:space="preserve">Tirant d'eau </t>
  </si>
  <si>
    <t xml:space="preserve">Volume Taxable </t>
  </si>
  <si>
    <t>Taux de base</t>
  </si>
  <si>
    <t>Redevance Navire</t>
  </si>
  <si>
    <t>Modulation non cummulable (4)</t>
  </si>
  <si>
    <t xml:space="preserve">Abattement de fréquence </t>
  </si>
  <si>
    <t>Modulation cummulable (3)</t>
  </si>
  <si>
    <t>Redevance déchets</t>
  </si>
  <si>
    <t>Montant Brut</t>
  </si>
  <si>
    <t>Montant Net</t>
  </si>
  <si>
    <t xml:space="preserve">Montant à percevoir </t>
  </si>
  <si>
    <t>Montant Final</t>
  </si>
  <si>
    <t>Entrée</t>
  </si>
  <si>
    <t>DSK Fish</t>
  </si>
  <si>
    <t>MAYELEWO</t>
  </si>
  <si>
    <t/>
  </si>
  <si>
    <t xml:space="preserve">Compagnie </t>
  </si>
  <si>
    <t xml:space="preserve">Nom du Navire </t>
  </si>
  <si>
    <t>Longueur hors tout (m)</t>
  </si>
  <si>
    <t>Largueur maximal (m)</t>
  </si>
  <si>
    <t>Tirant d'eau (m)</t>
  </si>
  <si>
    <t>DON FAUSTINO</t>
  </si>
  <si>
    <t>Delta Transit</t>
  </si>
  <si>
    <t>DON CRUZ</t>
  </si>
  <si>
    <t>EL SUR</t>
  </si>
  <si>
    <t>ARACELYS MARIA</t>
  </si>
  <si>
    <t>SAMANTHA DEL VALLEE</t>
  </si>
  <si>
    <t>PATHFINDER</t>
  </si>
  <si>
    <t>NATHALIA</t>
  </si>
  <si>
    <t>Poissonnerie Bapte</t>
  </si>
  <si>
    <t>QUEEN MARY</t>
  </si>
  <si>
    <t>MARIA CELIS 2</t>
  </si>
  <si>
    <t>MARIA CELIS 3</t>
  </si>
  <si>
    <t>MARIA CELIS 4</t>
  </si>
  <si>
    <t>LA DIOSA</t>
  </si>
  <si>
    <t xml:space="preserve">compagnie </t>
  </si>
  <si>
    <t>Adresse</t>
  </si>
  <si>
    <t>53 AVENUE DES ARAWAKS, 97200 FORT DE FRANCE.</t>
  </si>
  <si>
    <t>ZI de Champigny - Bât.n°11, Petite Cocotte - 97224 DUCOS</t>
  </si>
  <si>
    <t xml:space="preserve">Delta Transit </t>
  </si>
  <si>
    <t>Immeuble Frigodom - 1ère étage, ZIP de la Pointe des Grives, 97200, FORT-DE-FRANCE</t>
  </si>
  <si>
    <t>EL SAN JUANERO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</si>
</sst>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rgb="FF10486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rgb="FF000000"/>
      </bottom>
      <diagonal/>
    </border>
    <border>
      <left/>
      <right style="thin">
        <color theme="1" tint="0.499984740745262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/>
    <xf numFmtId="0" fontId="4" fillId="0" borderId="9" xfId="0" applyFont="1" applyBorder="1"/>
    <xf numFmtId="0" fontId="0" fillId="0" borderId="10" xfId="0" applyBorder="1"/>
    <xf numFmtId="0" fontId="0" fillId="0" borderId="4" xfId="0" applyFont="1" applyBorder="1"/>
  </cellXfs>
  <cellStyles count="1">
    <cellStyle name="Normal" xfId="0" builtinId="0"/>
  </cellStyles>
  <dxfs count="26">
    <dxf>
      <font>
        <b val="0"/>
      </font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Times New Roman"/>
      </font>
    </dxf>
    <dxf>
      <font>
        <name val="Times New Roman"/>
      </font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FFFFFF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29E64-7FC7-4469-8A2D-196525EA991A}" name="Tableau1" displayName="Tableau1" ref="A1:X38" totalsRowShown="0">
  <autoFilter ref="A1:X38" xr:uid="{75829E64-7FC7-4469-8A2D-196525EA991A}"/>
  <tableColumns count="24">
    <tableColumn id="7" xr3:uid="{6A803017-4A30-4ADA-B61F-E42074DA2DF4}" name="Mouvement "/>
    <tableColumn id="23" xr3:uid="{93CE2DE0-7C7A-45E1-9724-3207DB2CDB4E}" name="Représentant "/>
    <tableColumn id="22" xr3:uid="{D4BA7D87-6CE6-4C6A-A3E8-963A5AD6FC1A}" name="Adresse du représentant" dataDxfId="25">
      <calculatedColumnFormula>IF(B2&lt;&gt;"",VLOOKUP(B2,Tableau3[#All],2,0),"")</calculatedColumnFormula>
    </tableColumn>
    <tableColumn id="26" xr3:uid="{075FFC9A-0866-419D-AD20-3E7FE0C81DB8}" name="Type du navire" dataDxfId="24">
      <calculatedColumnFormula>IF(B2&lt;&gt;"","13","")</calculatedColumnFormula>
    </tableColumn>
    <tableColumn id="2" xr3:uid="{CE31803F-2A93-4154-A7E1-1A9EEC6F3680}" name="Nom du navire"/>
    <tableColumn id="3" xr3:uid="{ACA56DAA-7AE0-43C8-A191-5A1E50CC1777}" name="Date d'entrée"/>
    <tableColumn id="4" xr3:uid="{D56340C2-6C7F-48B6-BE73-ADAB0EFCD7B1}" name="Date de sortie " dataDxfId="23"/>
    <tableColumn id="5" xr3:uid="{A2F89311-C20D-458C-B034-A604E3F7FD5D}" name="Provenance " dataDxfId="22"/>
    <tableColumn id="6" xr3:uid="{622D6CD9-FD42-4F06-A785-55691B48DE2F}" name="Zone DN"/>
    <tableColumn id="8" xr3:uid="{341457F8-4F04-40E8-9537-3EC8F4C746B2}" name="Tonnage"/>
    <tableColumn id="12" xr3:uid="{F62FADB5-4870-4A15-9554-1C372B4A4B20}" name="Largueur " dataDxfId="21">
      <calculatedColumnFormula>IF(E2&lt;&gt;"",VLOOKUP(E2,'Caractéristique navire de pêche'!$B:$E,3,0),"")</calculatedColumnFormula>
    </tableColumn>
    <tableColumn id="13" xr3:uid="{2927ADB3-96F0-4BE1-9A79-C990B0CDAE7F}" name="Longueur " dataDxfId="20"/>
    <tableColumn id="11" xr3:uid="{EC156DA3-0E82-4235-9B4A-22111E6FA722}" name="Tirant d'eau " dataDxfId="19">
      <calculatedColumnFormula>IF(E2&lt;&gt;"",_xlfn.LET(_xlpm.te_reel,VLOOKUP(E2,Tableau13[[#All],[Nom du Navire ]:[Tirant d''eau (m)]],4,0),_xlpm.longueur,VLOOKUP(E2,Tableau13[[#All],[Nom du Navire ]:[Tirant d''eau (m)]],2,0),_xlpm.largeur,VLOOKUP(E2,Tableau13[[#All],[Nom du Navire ]:[Tirant d''eau (m)]],3,0),_xlpm.te_theorique,0.14*SQRT(_xlpm.longueur*_xlpm.largeur),IF(_xlpm.te_reel&gt;=_xlpm.te_theorique,_xlpm.te_reel,ROUND(_xlpm.te_theorique,2))),"")</calculatedColumnFormula>
    </tableColumn>
    <tableColumn id="9" xr3:uid="{E235AE5E-5CC0-4585-9C97-1A0132BF1A07}" name="Volume Taxable " dataDxfId="18">
      <calculatedColumnFormula>IF(AND(K2&lt;&gt;"",L2&lt;&gt;"",M2&lt;&gt;""),ROUNDUP(L2*K2*M2,0),"")</calculatedColumnFormula>
    </tableColumn>
    <tableColumn id="10" xr3:uid="{C0833D6E-2308-40FA-AD74-2CA2B2ABDF2C}" name="Taux de base" dataDxfId="17">
      <calculatedColumnFormula>IF(A2&lt;&gt;"",IF(A2="Entrée",0.366,0.228),"")</calculatedColumnFormula>
    </tableColumn>
    <tableColumn id="14" xr3:uid="{F66A31B8-5F27-4063-8944-FDBC1C894FB8}" name="Redevance Navire" dataDxfId="16">
      <calculatedColumnFormula>IF(AND(N2&lt;&gt;"",O2&lt;&gt;""),ROUNDUP(N2*O2,2),"")</calculatedColumnFormula>
    </tableColumn>
    <tableColumn id="17" xr3:uid="{A5F8D501-9036-4F46-9EAA-6E8739664B7C}" name="Modulation non cummulable (4)" dataDxfId="15">
      <calculatedColumnFormula>IF(AND(J2&lt;&gt;"",N2&lt;&gt;""),IF(J2/N2&gt;2/15,0,IF(J2/N2&gt;1/10,-0.1,IF(J2/N2&gt;1/20,-0.3,IF(J2/N2&gt;1/40,-0.5,IF(J2/N2&gt;1/100,-0.6,IF(J2/N2&gt;1/250,-0.7,IF(J2/N2&gt;1/500,-0.8,-0.95))))))),"")</calculatedColumnFormula>
    </tableColumn>
    <tableColumn id="25" xr3:uid="{1254D2F4-AB89-41BD-B0D2-E1438C929EC7}" name="Abattement de fréquence " dataDxfId="14">
      <calculatedColumnFormula array="1">IF(E2&lt;&gt;"",IF(COUNTIFS($E$2:E2,E2,$F$2:F2,"&gt;="&amp;DATE(YEAR(F2),1,1),$F$2:F2,"&lt;="&amp;DATE(YEAR(Q:QF2),12,31))&lt;=6,0,IF(COUNTIFS($E$2:E2,E2,$F$2:F2,"&gt;="&amp;DATE(YEAR(F2),1,1),$F$2:F2,"&lt;="&amp;DATE(YEAR(F2),12,31))&lt;=15,-0.1,IF(COUNTIFS($E$2:E2,E2,$F$2:F2,"&gt;="&amp;DATE(YEAR(F2),1,1),$F$2:F2,"&lt;="&amp;DATE(YEAR(F2),12,31))&lt;=30,-0.15,IF(COUNTIFS($E$2:E2,E2,$F$2:F2,"&gt;="&amp;DATE(YEAR(F2),1,1),$F$2:F2,"&lt;="&amp;DATE(YEAR(F2),12,31))&lt;=60,-0.2,IF(COUNTIFS($E$2:E2,E2,$F$2:F2,"&gt;="&amp;DATE(YEAR(F2),1,1),$F$2:F2,"&lt;="&amp;DATE(YEAR(F2),12,31))&lt;=120,-0.25,-0.3))))),"")</calculatedColumnFormula>
    </tableColumn>
    <tableColumn id="16" xr3:uid="{31494260-798A-4AE8-90D6-75F1191C334B}" name="Modulation cummulable (3)" dataDxfId="13">
      <calculatedColumnFormula>IF(E2&lt;&gt;"",0,"")</calculatedColumnFormula>
    </tableColumn>
    <tableColumn id="15" xr3:uid="{A421E24A-9428-4D77-A32C-2534ADDB3299}" name="Redevance déchets" dataDxfId="12">
      <calculatedColumnFormula>IF(AND(E2&lt;&gt;"",A2="Entrée"),65,"")</calculatedColumnFormula>
    </tableColumn>
    <tableColumn id="18" xr3:uid="{78149C42-BFEE-45D3-BBAA-4327918E2439}" name="Montant Brut" dataDxfId="11">
      <calculatedColumnFormula>IF(AND(P2&lt;&gt;"",Q2&lt;&gt;""),ROUNDUP(P2*(1+Q2),2),"")</calculatedColumnFormula>
    </tableColumn>
    <tableColumn id="19" xr3:uid="{3EA6394C-380A-40DC-BDA4-599FB7FBCDF6}" name="Montant Net" dataDxfId="10">
      <calculatedColumnFormula>IF(U2&lt;&gt;"",U2+T2,"")</calculatedColumnFormula>
    </tableColumn>
    <tableColumn id="20" xr3:uid="{41AF65D6-37C3-4266-B518-CBAFEB68966A}" name="Montant à percevoir " dataDxfId="9">
      <calculatedColumnFormula>IF(V2&lt;&gt;"",IF(V2&lt;9,0,IF(V2&lt;=16,16,V2)),"")</calculatedColumnFormula>
    </tableColumn>
    <tableColumn id="21" xr3:uid="{20F59A93-CE99-45BF-AAF7-8DAC383C7A12}" name="Montant Final" dataDxfId="8">
      <calculatedColumnFormula>IF(W2&lt;&gt;"",W2,"")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F6C966-3BDB-42E8-860E-1440AB71A0E5}" name="Tableau13" displayName="Tableau13" ref="A1:E15" totalsRowShown="0" headerRowDxfId="7" headerRowBorderDxfId="6" totalsRowBorderDxfId="5">
  <autoFilter ref="A1:E15" xr:uid="{5EF6C966-3BDB-42E8-860E-1440AB71A0E5}"/>
  <tableColumns count="5">
    <tableColumn id="1" xr3:uid="{FEF8928F-5632-49AC-8AA4-1B2179228900}" name="Compagnie " dataDxfId="4"/>
    <tableColumn id="2" xr3:uid="{04650E0C-BE4E-4678-A0DD-1DFA856CD2D2}" name="Nom du Navire " dataDxfId="3"/>
    <tableColumn id="3" xr3:uid="{C0D2A2EE-68E3-4E91-A04D-F97AFF24795B}" name="Longueur hors tout (m)" dataDxfId="2"/>
    <tableColumn id="4" xr3:uid="{FE2D340F-75DE-46D9-A3BC-590D78911AFB}" name="Largueur maximal (m)" dataDxfId="1"/>
    <tableColumn id="5" xr3:uid="{F0F0FE3B-DD6B-4B03-83EF-1008E4C5DA32}" name="Tirant d'eau (m)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D3B555-C5AA-42C1-A04E-293D05057206}" name="Tableau3" displayName="Tableau3" ref="A1:B5" totalsRowShown="0">
  <autoFilter ref="A1:B5" xr:uid="{A1D3B555-C5AA-42C1-A04E-293D05057206}"/>
  <tableColumns count="2">
    <tableColumn id="1" xr3:uid="{0FCA8284-7ADD-4D44-90F1-2AE15953068A}" name="compagnie "/>
    <tableColumn id="2" xr3:uid="{3F62246E-E26A-478D-8503-1E916D13A93C}" name="Adre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opLeftCell="G1" workbookViewId="0">
      <selection activeCell="N6" sqref="N6"/>
    </sheetView>
  </sheetViews>
  <sheetFormatPr baseColWidth="10" defaultColWidth="8.81640625" defaultRowHeight="14.5" x14ac:dyDescent="0.35"/>
  <cols>
    <col min="1" max="1" width="15.453125" bestFit="1" customWidth="1"/>
    <col min="2" max="2" width="22.453125" customWidth="1"/>
    <col min="3" max="3" width="48.81640625" customWidth="1"/>
    <col min="4" max="4" width="18.1796875" customWidth="1"/>
    <col min="5" max="5" width="18.6328125" customWidth="1"/>
    <col min="6" max="6" width="16.36328125" bestFit="1" customWidth="1"/>
    <col min="7" max="7" width="17.1796875" style="2" bestFit="1" customWidth="1"/>
    <col min="8" max="8" width="15.1796875" style="2" bestFit="1" customWidth="1"/>
    <col min="9" max="9" width="12" bestFit="1" customWidth="1"/>
    <col min="10" max="10" width="11.6328125" bestFit="1" customWidth="1"/>
    <col min="11" max="12" width="13.453125" bestFit="1" customWidth="1"/>
    <col min="13" max="13" width="14.36328125" bestFit="1" customWidth="1"/>
    <col min="14" max="14" width="21.6328125" bestFit="1" customWidth="1"/>
    <col min="15" max="15" width="16" bestFit="1" customWidth="1"/>
    <col min="16" max="16" width="20.81640625" bestFit="1" customWidth="1"/>
    <col min="17" max="17" width="32" bestFit="1" customWidth="1"/>
    <col min="18" max="18" width="32" customWidth="1"/>
    <col min="19" max="19" width="28" bestFit="1" customWidth="1"/>
    <col min="20" max="20" width="20.1796875" bestFit="1" customWidth="1"/>
    <col min="21" max="21" width="16.81640625" bestFit="1" customWidth="1"/>
    <col min="22" max="22" width="15.6328125" bestFit="1" customWidth="1"/>
    <col min="23" max="23" width="21.81640625" bestFit="1" customWidth="1"/>
    <col min="24" max="24" width="17.1796875" customWidth="1"/>
  </cols>
  <sheetData>
    <row r="1" spans="1:2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s="3" t="s">
        <v>23</v>
      </c>
    </row>
    <row r="2" spans="1:24" x14ac:dyDescent="0.35">
      <c r="A2" t="s">
        <v>24</v>
      </c>
      <c r="B2" t="s">
        <v>25</v>
      </c>
      <c r="C2" t="str">
        <f>IF(B2&lt;&gt;"",VLOOKUP(B2,Tableau3[#All],2,0),"")</f>
        <v>53 AVENUE DES ARAWAKS, 97200 FORT DE FRANCE.</v>
      </c>
      <c r="D2" t="str">
        <f t="shared" ref="D2:D38" si="0">IF(B2&lt;&gt;"","13","")</f>
        <v>13</v>
      </c>
      <c r="E2" t="s">
        <v>26</v>
      </c>
      <c r="J2">
        <v>2.6840000000000002</v>
      </c>
      <c r="K2">
        <f>IF(E2&lt;&gt;"",VLOOKUP(E2,'Caractéristique navire de pêche'!$B:$E,3,0),"")</f>
        <v>4.3899999999999997</v>
      </c>
      <c r="L2">
        <f>IF(E2&lt;&gt;"",VLOOKUP(E2,'Caractéristique navire de pêche'!$B:$E,2,0),"")</f>
        <v>14.5</v>
      </c>
      <c r="M2">
        <f>IF(E2&lt;&gt;"",_xlfn.LET(_xlpm.te_reel,VLOOKUP(E2,'Caractéristique navire de pêche'!$B:$E,4,0),_xlpm.longueur,VLOOKUP(E2,'Caractéristique navire de pêche'!$B:$E,2,0),_xlpm.largeur,VLOOKUP(E2,'Caractéristique navire de pêche'!$B:$E,3,0),_xlpm.te_theorique,0.14*SQRT(_xlpm.longueur*_xlpm.largeur),IF(_xlpm.te_reel&gt;=_xlpm.te_theorique,_xlpm.te_reel,ROUND(_xlpm.te_theorique,2))),"")</f>
        <v>1.8</v>
      </c>
      <c r="N2">
        <f t="shared" ref="N2:N38" si="1">IF(AND(K2&lt;&gt;"",L2&lt;&gt;"",M2&lt;&gt;""),ROUNDUP(L2*K2*M2,0),"")</f>
        <v>115</v>
      </c>
      <c r="O2">
        <f t="shared" ref="O2:O38" si="2">IF(A2&lt;&gt;"",IF(A2="Entrée",0.366,0.228),"")</f>
        <v>0.36599999999999999</v>
      </c>
      <c r="P2">
        <f t="shared" ref="P2:P38" si="3">IF(AND(N2&lt;&gt;"",O2&lt;&gt;""),ROUNDUP(N2*O2,2),"")</f>
        <v>42.09</v>
      </c>
      <c r="Q2">
        <f>IF(AND(J2&lt;&gt;"",N2&lt;&gt;""),IF(J2/N2&gt;2/15,0,IF(J2/N2&gt;1/10,-0.1,IF(J2/N2&gt;1/20,-0.3,IF(J2/N2&gt;1/40,-0.5,IF(J2/N2&gt;1/100,-0.6,IF(J2/N2&gt;1/250,-0.7,IF(J2/N2&gt;1/500,-0.8,-0.95))))))),"")</f>
        <v>-0.6</v>
      </c>
      <c r="R2" cm="1">
        <f t="array" ref="R2">IF(E2&lt;&gt;"",IF(COUNTIFS($E$2:E2,E2,$F$2:F2,"&gt;="&amp;DATE(YEAR(F2),1,1),$F$2:F2,"&lt;="&amp;DATE(YEAR(Q:QF2),12,31))&lt;=6,0,IF(COUNTIFS($E$2:E2,E2,$F$2:F2,"&gt;="&amp;DATE(YEAR(F2),1,1),$F$2:F2,"&lt;="&amp;DATE(YEAR(F2),12,31))&lt;=15,-0.1,IF(COUNTIFS($E$2:E2,E2,$F$2:F2,"&gt;="&amp;DATE(YEAR(F2),1,1),$F$2:F2,"&lt;="&amp;DATE(YEAR(F2),12,31))&lt;=30,-0.15,IF(COUNTIFS($E$2:E2,E2,$F$2:F2,"&gt;="&amp;DATE(YEAR(F2),1,1),$F$2:F2,"&lt;="&amp;DATE(YEAR(F2),12,31))&lt;=60,-0.2,IF(COUNTIFS($E$2:E2,E2,$F$2:F2,"&gt;="&amp;DATE(YEAR(F2),1,1),$F$2:F2,"&lt;="&amp;DATE(YEAR(F2),12,31))&lt;=120,-0.25,-0.3))))),"")</f>
        <v>0</v>
      </c>
      <c r="S2">
        <f t="shared" ref="S2:S38" si="4">IF(E2&lt;&gt;"",0,"")</f>
        <v>0</v>
      </c>
      <c r="T2">
        <f t="shared" ref="T2:T38" si="5">IF(AND(E2&lt;&gt;"",A2="Entrée"),65,"")</f>
        <v>65</v>
      </c>
      <c r="U2">
        <f t="shared" ref="U2:U38" si="6">IF(AND(P2&lt;&gt;"",Q2&lt;&gt;""),ROUNDUP(P2*(1+Q2),2),"")</f>
        <v>16.84</v>
      </c>
      <c r="V2">
        <f t="shared" ref="V2:V38" si="7">IF(U2&lt;&gt;"",U2+T2,"")</f>
        <v>81.84</v>
      </c>
      <c r="W2">
        <f t="shared" ref="W2:W38" si="8">IF(V2&lt;&gt;"",IF(V2&lt;9,0,IF(V2&lt;=16,16,V2)),"")</f>
        <v>81.84</v>
      </c>
      <c r="X2">
        <f t="shared" ref="X2:X38" si="9">IF(W2&lt;&gt;"",W2,"")</f>
        <v>81.84</v>
      </c>
    </row>
    <row r="3" spans="1:24" x14ac:dyDescent="0.35">
      <c r="C3" t="str">
        <f>IF(B3&lt;&gt;"",VLOOKUP(B3,Tableau3[#All],2,0),"")</f>
        <v/>
      </c>
      <c r="D3" t="str">
        <f t="shared" si="0"/>
        <v/>
      </c>
      <c r="K3" t="str">
        <f>IF(E3&lt;&gt;"",VLOOKUP(E3,'Caractéristique navire de pêche'!$B:$E,3,0),"")</f>
        <v/>
      </c>
      <c r="M3" t="str">
        <f>IF(E3&lt;&gt;"",_xlfn.LET(_xlpm.te_reel,VLOOKUP(E3,Tableau13[[#All],[Nom du Navire ]:[Tirant d''eau (m)]],4,0),_xlpm.longueur,VLOOKUP(E3,Tableau13[[#All],[Nom du Navire ]:[Tirant d''eau (m)]],2,0),_xlpm.largeur,VLOOKUP(E3,Tableau13[[#All],[Nom du Navire ]:[Tirant d''eau (m)]],3,0),_xlpm.te_theorique,0.14*SQRT(_xlpm.longueur*_xlpm.largeur),IF(_xlpm.te_reel&gt;=_xlpm.te_theorique,_xlpm.te_reel,ROUND(_xlpm.te_theorique,2))),"")</f>
        <v/>
      </c>
      <c r="N3" t="str">
        <f t="shared" si="1"/>
        <v/>
      </c>
      <c r="O3" t="str">
        <f t="shared" si="2"/>
        <v/>
      </c>
      <c r="P3" t="str">
        <f t="shared" si="3"/>
        <v/>
      </c>
      <c r="Q3" t="str">
        <f t="shared" ref="Q3:Q38" si="10">IF(AND(J3&lt;&gt;"",N3&lt;&gt;""),IF(J3/N3&gt;2/15,0,IF(J3/N3&gt;1/10,-0.1,IF(J3/N3&gt;1/20,-0.3,IF(J3/N3&gt;1/40,-0.5,IF(J3/N3&gt;1/100,-0.6,IF(J3/N3&gt;1/250,-0.7,IF(J3/N3&gt;1/500,-0.8,-0.95))))))),"")</f>
        <v/>
      </c>
      <c r="R3" t="str" cm="1">
        <f t="array" ref="R3">IF(E3&lt;&gt;"",IF(COUNTIFS($E$2:E3,E3,$F$2:F3,"&gt;="&amp;DATE(YEAR(F3),1,1),$F$2:F3,"&lt;="&amp;DATE(YEAR(Q:QF3),12,31))&lt;=6,0,IF(COUNTIFS($E$2:E3,E3,$F$2:F3,"&gt;="&amp;DATE(YEAR(F3),1,1),$F$2:F3,"&lt;="&amp;DATE(YEAR(F3),12,31))&lt;=15,-0.1,IF(COUNTIFS($E$2:E3,E3,$F$2:F3,"&gt;="&amp;DATE(YEAR(F3),1,1),$F$2:F3,"&lt;="&amp;DATE(YEAR(F3),12,31))&lt;=30,-0.15,IF(COUNTIFS($E$2:E3,E3,$F$2:F3,"&gt;="&amp;DATE(YEAR(F3),1,1),$F$2:F3,"&lt;="&amp;DATE(YEAR(F3),12,31))&lt;=60,-0.2,IF(COUNTIFS($E$2:E3,E3,$F$2:F3,"&gt;="&amp;DATE(YEAR(F3),1,1),$F$2:F3,"&lt;="&amp;DATE(YEAR(F3),12,31))&lt;=120,-0.25,-0.3))))),"")</f>
        <v/>
      </c>
      <c r="S3" t="str">
        <f t="shared" si="4"/>
        <v/>
      </c>
      <c r="T3" t="str">
        <f t="shared" si="5"/>
        <v/>
      </c>
      <c r="U3" t="str">
        <f t="shared" si="6"/>
        <v/>
      </c>
      <c r="V3" t="str">
        <f t="shared" si="7"/>
        <v/>
      </c>
      <c r="W3" t="str">
        <f t="shared" si="8"/>
        <v/>
      </c>
      <c r="X3" t="str">
        <f t="shared" si="9"/>
        <v/>
      </c>
    </row>
    <row r="4" spans="1:24" x14ac:dyDescent="0.35">
      <c r="C4" t="str">
        <f>IF(B4&lt;&gt;"",VLOOKUP(B4,Tableau3[#All],2,0),"")</f>
        <v/>
      </c>
      <c r="D4" t="str">
        <f t="shared" si="0"/>
        <v/>
      </c>
      <c r="K4" t="str">
        <f>IF(E4&lt;&gt;"",VLOOKUP(E4,'Caractéristique navire de pêche'!$B:$E,3,0),"")</f>
        <v/>
      </c>
      <c r="L4" t="s">
        <v>27</v>
      </c>
      <c r="M4" t="str">
        <f>IF(E4&lt;&gt;"",_xlfn.LET(_xlpm.te_reel,VLOOKUP(E4,Tableau13[[#All],[Nom du Navire ]:[Tirant d''eau (m)]],4,0),_xlpm.longueur,VLOOKUP(E4,Tableau13[[#All],[Nom du Navire ]:[Tirant d''eau (m)]],2,0),_xlpm.largeur,VLOOKUP(E4,Tableau13[[#All],[Nom du Navire ]:[Tirant d''eau (m)]],3,0),_xlpm.te_theorique,0.14*SQRT(_xlpm.longueur*_xlpm.largeur),IF(_xlpm.te_reel&gt;=_xlpm.te_theorique,_xlpm.te_reel,ROUND(_xlpm.te_theorique,2))),"")</f>
        <v/>
      </c>
      <c r="N4" t="str">
        <f t="shared" si="1"/>
        <v/>
      </c>
      <c r="O4" t="str">
        <f t="shared" si="2"/>
        <v/>
      </c>
      <c r="P4" t="str">
        <f t="shared" si="3"/>
        <v/>
      </c>
      <c r="Q4" t="str">
        <f t="shared" si="10"/>
        <v/>
      </c>
      <c r="R4" t="str" cm="1">
        <f t="array" ref="R4">IF(E4&lt;&gt;"",IF(COUNTIFS($E$2:E4,E4,$F$2:F4,"&gt;="&amp;DATE(YEAR(F4),1,1),$F$2:F4,"&lt;="&amp;DATE(YEAR(Q:QF4),12,31))&lt;=6,0,IF(COUNTIFS($E$2:E4,E4,$F$2:F4,"&gt;="&amp;DATE(YEAR(F4),1,1),$F$2:F4,"&lt;="&amp;DATE(YEAR(F4),12,31))&lt;=15,-0.1,IF(COUNTIFS($E$2:E4,E4,$F$2:F4,"&gt;="&amp;DATE(YEAR(F4),1,1),$F$2:F4,"&lt;="&amp;DATE(YEAR(F4),12,31))&lt;=30,-0.15,IF(COUNTIFS($E$2:E4,E4,$F$2:F4,"&gt;="&amp;DATE(YEAR(F4),1,1),$F$2:F4,"&lt;="&amp;DATE(YEAR(F4),12,31))&lt;=60,-0.2,IF(COUNTIFS($E$2:E4,E4,$F$2:F4,"&gt;="&amp;DATE(YEAR(F4),1,1),$F$2:F4,"&lt;="&amp;DATE(YEAR(F4),12,31))&lt;=120,-0.25,-0.3))))),"")</f>
        <v/>
      </c>
      <c r="S4" t="str">
        <f t="shared" si="4"/>
        <v/>
      </c>
      <c r="T4" t="str">
        <f t="shared" si="5"/>
        <v/>
      </c>
      <c r="U4" t="str">
        <f t="shared" si="6"/>
        <v/>
      </c>
      <c r="V4" t="str">
        <f t="shared" si="7"/>
        <v/>
      </c>
      <c r="W4" t="str">
        <f t="shared" si="8"/>
        <v/>
      </c>
      <c r="X4" t="str">
        <f t="shared" si="9"/>
        <v/>
      </c>
    </row>
    <row r="5" spans="1:24" x14ac:dyDescent="0.35">
      <c r="C5" t="str">
        <f>IF(B5&lt;&gt;"",VLOOKUP(B5,Tableau3[#All],2,0),"")</f>
        <v/>
      </c>
      <c r="D5" t="str">
        <f t="shared" si="0"/>
        <v/>
      </c>
      <c r="K5" t="str">
        <f>IF(E5&lt;&gt;"",VLOOKUP(E5,'Caractéristique navire de pêche'!$B:$E,3,0),"")</f>
        <v/>
      </c>
      <c r="L5" t="s">
        <v>27</v>
      </c>
      <c r="M5" t="str">
        <f>IF(E5&lt;&gt;"",_xlfn.LET(_xlpm.te_reel,VLOOKUP(E5,Tableau13[[#All],[Nom du Navire ]:[Tirant d''eau (m)]],4,0),_xlpm.longueur,VLOOKUP(E5,Tableau13[[#All],[Nom du Navire ]:[Tirant d''eau (m)]],2,0),_xlpm.largeur,VLOOKUP(E5,Tableau13[[#All],[Nom du Navire ]:[Tirant d''eau (m)]],3,0),_xlpm.te_theorique,0.14*SQRT(_xlpm.longueur*_xlpm.largeur),IF(_xlpm.te_reel&gt;=_xlpm.te_theorique,_xlpm.te_reel,ROUND(_xlpm.te_theorique,2))),"")</f>
        <v/>
      </c>
      <c r="N5" t="str">
        <f t="shared" si="1"/>
        <v/>
      </c>
      <c r="O5" t="str">
        <f t="shared" si="2"/>
        <v/>
      </c>
      <c r="P5" t="str">
        <f t="shared" si="3"/>
        <v/>
      </c>
      <c r="Q5" t="str">
        <f t="shared" si="10"/>
        <v/>
      </c>
      <c r="R5" t="str" cm="1">
        <f t="array" ref="R5">IF(E5&lt;&gt;"",IF(COUNTIFS($E$2:E5,E5,$F$2:F5,"&gt;="&amp;DATE(YEAR(F5),1,1),$F$2:F5,"&lt;="&amp;DATE(YEAR(Q:QF5),12,31))&lt;=6,0,IF(COUNTIFS($E$2:E5,E5,$F$2:F5,"&gt;="&amp;DATE(YEAR(F5),1,1),$F$2:F5,"&lt;="&amp;DATE(YEAR(F5),12,31))&lt;=15,-0.1,IF(COUNTIFS($E$2:E5,E5,$F$2:F5,"&gt;="&amp;DATE(YEAR(F5),1,1),$F$2:F5,"&lt;="&amp;DATE(YEAR(F5),12,31))&lt;=30,-0.15,IF(COUNTIFS($E$2:E5,E5,$F$2:F5,"&gt;="&amp;DATE(YEAR(F5),1,1),$F$2:F5,"&lt;="&amp;DATE(YEAR(F5),12,31))&lt;=60,-0.2,IF(COUNTIFS($E$2:E5,E5,$F$2:F5,"&gt;="&amp;DATE(YEAR(F5),1,1),$F$2:F5,"&lt;="&amp;DATE(YEAR(F5),12,31))&lt;=120,-0.25,-0.3))))),"")</f>
        <v/>
      </c>
      <c r="S5" t="str">
        <f t="shared" si="4"/>
        <v/>
      </c>
      <c r="T5" t="str">
        <f t="shared" si="5"/>
        <v/>
      </c>
      <c r="U5" t="str">
        <f t="shared" si="6"/>
        <v/>
      </c>
      <c r="V5" t="str">
        <f t="shared" si="7"/>
        <v/>
      </c>
      <c r="W5" t="str">
        <f t="shared" si="8"/>
        <v/>
      </c>
      <c r="X5" t="str">
        <f t="shared" si="9"/>
        <v/>
      </c>
    </row>
    <row r="6" spans="1:24" x14ac:dyDescent="0.35">
      <c r="C6" t="str">
        <f>IF(B6&lt;&gt;"",VLOOKUP(B6,Tableau3[#All],2,0),"")</f>
        <v/>
      </c>
      <c r="D6" t="str">
        <f t="shared" si="0"/>
        <v/>
      </c>
      <c r="K6" t="str">
        <f>IF(E6&lt;&gt;"",VLOOKUP(E6,'Caractéristique navire de pêche'!$B:$E,3,0),"")</f>
        <v/>
      </c>
      <c r="L6" t="s">
        <v>27</v>
      </c>
      <c r="M6" t="str">
        <f>IF(E6&lt;&gt;"",_xlfn.LET(_xlpm.te_reel,VLOOKUP(E6,Tableau13[[#All],[Nom du Navire ]:[Tirant d''eau (m)]],4,0),_xlpm.longueur,VLOOKUP(E6,Tableau13[[#All],[Nom du Navire ]:[Tirant d''eau (m)]],2,0),_xlpm.largeur,VLOOKUP(E6,Tableau13[[#All],[Nom du Navire ]:[Tirant d''eau (m)]],3,0),_xlpm.te_theorique,0.14*SQRT(_xlpm.longueur*_xlpm.largeur),IF(_xlpm.te_reel&gt;=_xlpm.te_theorique,_xlpm.te_reel,ROUND(_xlpm.te_theorique,2))),"")</f>
        <v/>
      </c>
      <c r="N6" t="str">
        <f t="shared" si="1"/>
        <v/>
      </c>
      <c r="O6" t="str">
        <f t="shared" si="2"/>
        <v/>
      </c>
      <c r="P6" t="str">
        <f t="shared" si="3"/>
        <v/>
      </c>
      <c r="Q6" t="str">
        <f t="shared" si="10"/>
        <v/>
      </c>
      <c r="R6" t="str" cm="1">
        <f t="array" ref="R6">IF(E6&lt;&gt;"",IF(COUNTIFS($E$2:E6,E6,$F$2:F6,"&gt;="&amp;DATE(YEAR(F6),1,1),$F$2:F6,"&lt;="&amp;DATE(YEAR(Q:QF6),12,31))&lt;=6,0,IF(COUNTIFS($E$2:E6,E6,$F$2:F6,"&gt;="&amp;DATE(YEAR(F6),1,1),$F$2:F6,"&lt;="&amp;DATE(YEAR(F6),12,31))&lt;=15,-0.1,IF(COUNTIFS($E$2:E6,E6,$F$2:F6,"&gt;="&amp;DATE(YEAR(F6),1,1),$F$2:F6,"&lt;="&amp;DATE(YEAR(F6),12,31))&lt;=30,-0.15,IF(COUNTIFS($E$2:E6,E6,$F$2:F6,"&gt;="&amp;DATE(YEAR(F6),1,1),$F$2:F6,"&lt;="&amp;DATE(YEAR(F6),12,31))&lt;=60,-0.2,IF(COUNTIFS($E$2:E6,E6,$F$2:F6,"&gt;="&amp;DATE(YEAR(F6),1,1),$F$2:F6,"&lt;="&amp;DATE(YEAR(F6),12,31))&lt;=120,-0.25,-0.3))))),"")</f>
        <v/>
      </c>
      <c r="S6" t="str">
        <f t="shared" si="4"/>
        <v/>
      </c>
      <c r="T6" t="str">
        <f t="shared" si="5"/>
        <v/>
      </c>
      <c r="U6" t="str">
        <f t="shared" si="6"/>
        <v/>
      </c>
      <c r="V6" t="str">
        <f t="shared" si="7"/>
        <v/>
      </c>
      <c r="W6" t="str">
        <f t="shared" si="8"/>
        <v/>
      </c>
      <c r="X6" t="str">
        <f t="shared" si="9"/>
        <v/>
      </c>
    </row>
    <row r="7" spans="1:24" x14ac:dyDescent="0.35">
      <c r="C7" t="str">
        <f>IF(B7&lt;&gt;"",VLOOKUP(B7,Tableau3[#All],2,0),"")</f>
        <v/>
      </c>
      <c r="D7" t="str">
        <f t="shared" si="0"/>
        <v/>
      </c>
      <c r="K7" t="str">
        <f>IF(E7&lt;&gt;"",VLOOKUP(E7,'Caractéristique navire de pêche'!$B:$E,3,0),"")</f>
        <v/>
      </c>
      <c r="L7" t="s">
        <v>27</v>
      </c>
      <c r="M7" t="str">
        <f>IF(E7&lt;&gt;"",_xlfn.LET(_xlpm.te_reel,VLOOKUP(E7,Tableau13[[#All],[Nom du Navire ]:[Tirant d''eau (m)]],4,0),_xlpm.longueur,VLOOKUP(E7,Tableau13[[#All],[Nom du Navire ]:[Tirant d''eau (m)]],2,0),_xlpm.largeur,VLOOKUP(E7,Tableau13[[#All],[Nom du Navire ]:[Tirant d''eau (m)]],3,0),_xlpm.te_theorique,0.14*SQRT(_xlpm.longueur*_xlpm.largeur),IF(_xlpm.te_reel&gt;=_xlpm.te_theorique,_xlpm.te_reel,ROUND(_xlpm.te_theorique,2))),"")</f>
        <v/>
      </c>
      <c r="N7" t="str">
        <f t="shared" si="1"/>
        <v/>
      </c>
      <c r="O7" t="str">
        <f t="shared" si="2"/>
        <v/>
      </c>
      <c r="P7" t="str">
        <f t="shared" si="3"/>
        <v/>
      </c>
      <c r="Q7" t="str">
        <f t="shared" si="10"/>
        <v/>
      </c>
      <c r="R7" t="str" cm="1">
        <f t="array" ref="R7">IF(E7&lt;&gt;"",IF(COUNTIFS($E$2:E7,E7,$F$2:F7,"&gt;="&amp;DATE(YEAR(F7),1,1),$F$2:F7,"&lt;="&amp;DATE(YEAR(Q:QF7),12,31))&lt;=6,0,IF(COUNTIFS($E$2:E7,E7,$F$2:F7,"&gt;="&amp;DATE(YEAR(F7),1,1),$F$2:F7,"&lt;="&amp;DATE(YEAR(F7),12,31))&lt;=15,-0.1,IF(COUNTIFS($E$2:E7,E7,$F$2:F7,"&gt;="&amp;DATE(YEAR(F7),1,1),$F$2:F7,"&lt;="&amp;DATE(YEAR(F7),12,31))&lt;=30,-0.15,IF(COUNTIFS($E$2:E7,E7,$F$2:F7,"&gt;="&amp;DATE(YEAR(F7),1,1),$F$2:F7,"&lt;="&amp;DATE(YEAR(F7),12,31))&lt;=60,-0.2,IF(COUNTIFS($E$2:E7,E7,$F$2:F7,"&gt;="&amp;DATE(YEAR(F7),1,1),$F$2:F7,"&lt;="&amp;DATE(YEAR(F7),12,31))&lt;=120,-0.25,-0.3))))),"")</f>
        <v/>
      </c>
      <c r="S7" t="str">
        <f t="shared" si="4"/>
        <v/>
      </c>
      <c r="T7" t="str">
        <f t="shared" si="5"/>
        <v/>
      </c>
      <c r="U7" t="str">
        <f t="shared" si="6"/>
        <v/>
      </c>
      <c r="V7" t="str">
        <f t="shared" si="7"/>
        <v/>
      </c>
      <c r="W7" t="str">
        <f t="shared" si="8"/>
        <v/>
      </c>
      <c r="X7" t="str">
        <f t="shared" si="9"/>
        <v/>
      </c>
    </row>
    <row r="8" spans="1:24" x14ac:dyDescent="0.35">
      <c r="C8" t="str">
        <f>IF(B8&lt;&gt;"",VLOOKUP(B8,Tableau3[#All],2,0),"")</f>
        <v/>
      </c>
      <c r="D8" t="str">
        <f t="shared" si="0"/>
        <v/>
      </c>
      <c r="K8" t="str">
        <f>IF(E8&lt;&gt;"",VLOOKUP(E8,'Caractéristique navire de pêche'!$B:$E,3,0),"")</f>
        <v/>
      </c>
      <c r="L8" t="s">
        <v>27</v>
      </c>
      <c r="M8" t="str">
        <f>IF(E8&lt;&gt;"",_xlfn.LET(_xlpm.te_reel,VLOOKUP(E8,Tableau13[[#All],[Nom du Navire ]:[Tirant d''eau (m)]],4,0),_xlpm.longueur,VLOOKUP(E8,Tableau13[[#All],[Nom du Navire ]:[Tirant d''eau (m)]],2,0),_xlpm.largeur,VLOOKUP(E8,Tableau13[[#All],[Nom du Navire ]:[Tirant d''eau (m)]],3,0),_xlpm.te_theorique,0.14*SQRT(_xlpm.longueur*_xlpm.largeur),IF(_xlpm.te_reel&gt;=_xlpm.te_theorique,_xlpm.te_reel,ROUND(_xlpm.te_theorique,2))),"")</f>
        <v/>
      </c>
      <c r="N8" t="str">
        <f t="shared" si="1"/>
        <v/>
      </c>
      <c r="O8" t="str">
        <f t="shared" si="2"/>
        <v/>
      </c>
      <c r="P8" t="str">
        <f t="shared" si="3"/>
        <v/>
      </c>
      <c r="Q8" t="str">
        <f t="shared" si="10"/>
        <v/>
      </c>
      <c r="R8" t="str" cm="1">
        <f t="array" ref="R8">IF(E8&lt;&gt;"",IF(COUNTIFS($E$2:E8,E8,$F$2:F8,"&gt;="&amp;DATE(YEAR(F8),1,1),$F$2:F8,"&lt;="&amp;DATE(YEAR(Q:QF8),12,31))&lt;=6,0,IF(COUNTIFS($E$2:E8,E8,$F$2:F8,"&gt;="&amp;DATE(YEAR(F8),1,1),$F$2:F8,"&lt;="&amp;DATE(YEAR(F8),12,31))&lt;=15,-0.1,IF(COUNTIFS($E$2:E8,E8,$F$2:F8,"&gt;="&amp;DATE(YEAR(F8),1,1),$F$2:F8,"&lt;="&amp;DATE(YEAR(F8),12,31))&lt;=30,-0.15,IF(COUNTIFS($E$2:E8,E8,$F$2:F8,"&gt;="&amp;DATE(YEAR(F8),1,1),$F$2:F8,"&lt;="&amp;DATE(YEAR(F8),12,31))&lt;=60,-0.2,IF(COUNTIFS($E$2:E8,E8,$F$2:F8,"&gt;="&amp;DATE(YEAR(F8),1,1),$F$2:F8,"&lt;="&amp;DATE(YEAR(F8),12,31))&lt;=120,-0.25,-0.3))))),"")</f>
        <v/>
      </c>
      <c r="S8" t="str">
        <f t="shared" si="4"/>
        <v/>
      </c>
      <c r="T8" t="str">
        <f t="shared" si="5"/>
        <v/>
      </c>
      <c r="U8" t="str">
        <f t="shared" si="6"/>
        <v/>
      </c>
      <c r="V8" t="str">
        <f t="shared" si="7"/>
        <v/>
      </c>
      <c r="W8" t="str">
        <f t="shared" si="8"/>
        <v/>
      </c>
      <c r="X8" t="str">
        <f t="shared" si="9"/>
        <v/>
      </c>
    </row>
    <row r="9" spans="1:24" x14ac:dyDescent="0.35">
      <c r="C9" t="str">
        <f>IF(B9&lt;&gt;"",VLOOKUP(B9,Tableau3[#All],2,0),"")</f>
        <v/>
      </c>
      <c r="D9" t="str">
        <f t="shared" si="0"/>
        <v/>
      </c>
      <c r="K9" t="str">
        <f>IF(E9&lt;&gt;"",VLOOKUP(E9,'Caractéristique navire de pêche'!$B:$E,3,0),"")</f>
        <v/>
      </c>
      <c r="L9" t="s">
        <v>27</v>
      </c>
      <c r="M9" t="str">
        <f>IF(E9&lt;&gt;"",_xlfn.LET(_xlpm.te_reel,VLOOKUP(E9,Tableau13[[#All],[Nom du Navire ]:[Tirant d''eau (m)]],4,0),_xlpm.longueur,VLOOKUP(E9,Tableau13[[#All],[Nom du Navire ]:[Tirant d''eau (m)]],2,0),_xlpm.largeur,VLOOKUP(E9,Tableau13[[#All],[Nom du Navire ]:[Tirant d''eau (m)]],3,0),_xlpm.te_theorique,0.14*SQRT(_xlpm.longueur*_xlpm.largeur),IF(_xlpm.te_reel&gt;=_xlpm.te_theorique,_xlpm.te_reel,ROUND(_xlpm.te_theorique,2))),"")</f>
        <v/>
      </c>
      <c r="N9" t="str">
        <f t="shared" si="1"/>
        <v/>
      </c>
      <c r="O9" t="str">
        <f t="shared" si="2"/>
        <v/>
      </c>
      <c r="P9" t="str">
        <f t="shared" si="3"/>
        <v/>
      </c>
      <c r="Q9" t="str">
        <f t="shared" si="10"/>
        <v/>
      </c>
      <c r="R9" t="str" cm="1">
        <f t="array" ref="R9">IF(E9&lt;&gt;"",IF(COUNTIFS($E$2:E9,E9,$F$2:F9,"&gt;="&amp;DATE(YEAR(F9),1,1),$F$2:F9,"&lt;="&amp;DATE(YEAR(Q:QF9),12,31))&lt;=6,0,IF(COUNTIFS($E$2:E9,E9,$F$2:F9,"&gt;="&amp;DATE(YEAR(F9),1,1),$F$2:F9,"&lt;="&amp;DATE(YEAR(F9),12,31))&lt;=15,-0.1,IF(COUNTIFS($E$2:E9,E9,$F$2:F9,"&gt;="&amp;DATE(YEAR(F9),1,1),$F$2:F9,"&lt;="&amp;DATE(YEAR(F9),12,31))&lt;=30,-0.15,IF(COUNTIFS($E$2:E9,E9,$F$2:F9,"&gt;="&amp;DATE(YEAR(F9),1,1),$F$2:F9,"&lt;="&amp;DATE(YEAR(F9),12,31))&lt;=60,-0.2,IF(COUNTIFS($E$2:E9,E9,$F$2:F9,"&gt;="&amp;DATE(YEAR(F9),1,1),$F$2:F9,"&lt;="&amp;DATE(YEAR(F9),12,31))&lt;=120,-0.25,-0.3))))),"")</f>
        <v/>
      </c>
      <c r="S9" t="str">
        <f t="shared" si="4"/>
        <v/>
      </c>
      <c r="T9" t="str">
        <f t="shared" si="5"/>
        <v/>
      </c>
      <c r="U9" t="str">
        <f t="shared" si="6"/>
        <v/>
      </c>
      <c r="V9" t="str">
        <f t="shared" si="7"/>
        <v/>
      </c>
      <c r="W9" t="str">
        <f t="shared" si="8"/>
        <v/>
      </c>
      <c r="X9" t="str">
        <f t="shared" si="9"/>
        <v/>
      </c>
    </row>
    <row r="10" spans="1:24" x14ac:dyDescent="0.35">
      <c r="C10" t="str">
        <f>IF(B10&lt;&gt;"",VLOOKUP(B10,Tableau3[#All],2,0),"")</f>
        <v/>
      </c>
      <c r="D10" t="str">
        <f t="shared" si="0"/>
        <v/>
      </c>
      <c r="K10" t="str">
        <f>IF(E10&lt;&gt;"",VLOOKUP(E10,'Caractéristique navire de pêche'!$B:$E,3,0),"")</f>
        <v/>
      </c>
      <c r="L10" t="s">
        <v>27</v>
      </c>
      <c r="M10" t="str">
        <f>IF(E10&lt;&gt;"",_xlfn.LET(_xlpm.te_reel,VLOOKUP(E10,Tableau13[[#All],[Nom du Navire ]:[Tirant d''eau (m)]],4,0),_xlpm.longueur,VLOOKUP(E10,Tableau13[[#All],[Nom du Navire ]:[Tirant d''eau (m)]],2,0),_xlpm.largeur,VLOOKUP(E10,Tableau13[[#All],[Nom du Navire ]:[Tirant d''eau (m)]],3,0),_xlpm.te_theorique,0.14*SQRT(_xlpm.longueur*_xlpm.largeur),IF(_xlpm.te_reel&gt;=_xlpm.te_theorique,_xlpm.te_reel,ROUND(_xlpm.te_theorique,2))),"")</f>
        <v/>
      </c>
      <c r="N10" t="str">
        <f t="shared" si="1"/>
        <v/>
      </c>
      <c r="O10" t="str">
        <f t="shared" si="2"/>
        <v/>
      </c>
      <c r="P10" t="str">
        <f t="shared" si="3"/>
        <v/>
      </c>
      <c r="Q10" t="str">
        <f t="shared" si="10"/>
        <v/>
      </c>
      <c r="R10" t="str" cm="1">
        <f t="array" ref="R10">IF(E10&lt;&gt;"",IF(COUNTIFS($E$2:E10,E10,$F$2:F10,"&gt;="&amp;DATE(YEAR(F10),1,1),$F$2:F10,"&lt;="&amp;DATE(YEAR(Q:QF10),12,31))&lt;=6,0,IF(COUNTIFS($E$2:E10,E10,$F$2:F10,"&gt;="&amp;DATE(YEAR(F10),1,1),$F$2:F10,"&lt;="&amp;DATE(YEAR(F10),12,31))&lt;=15,-0.1,IF(COUNTIFS($E$2:E10,E10,$F$2:F10,"&gt;="&amp;DATE(YEAR(F10),1,1),$F$2:F10,"&lt;="&amp;DATE(YEAR(F10),12,31))&lt;=30,-0.15,IF(COUNTIFS($E$2:E10,E10,$F$2:F10,"&gt;="&amp;DATE(YEAR(F10),1,1),$F$2:F10,"&lt;="&amp;DATE(YEAR(F10),12,31))&lt;=60,-0.2,IF(COUNTIFS($E$2:E10,E10,$F$2:F10,"&gt;="&amp;DATE(YEAR(F10),1,1),$F$2:F10,"&lt;="&amp;DATE(YEAR(F10),12,31))&lt;=120,-0.25,-0.3))))),"")</f>
        <v/>
      </c>
      <c r="S10" t="str">
        <f t="shared" si="4"/>
        <v/>
      </c>
      <c r="T10" t="str">
        <f t="shared" si="5"/>
        <v/>
      </c>
      <c r="U10" t="str">
        <f t="shared" si="6"/>
        <v/>
      </c>
      <c r="V10" t="str">
        <f t="shared" si="7"/>
        <v/>
      </c>
      <c r="W10" t="str">
        <f t="shared" si="8"/>
        <v/>
      </c>
      <c r="X10" t="str">
        <f t="shared" si="9"/>
        <v/>
      </c>
    </row>
    <row r="11" spans="1:24" x14ac:dyDescent="0.35">
      <c r="C11" t="str">
        <f>IF(B11&lt;&gt;"",VLOOKUP(B11,Tableau3[#All],2,0),"")</f>
        <v/>
      </c>
      <c r="D11" t="str">
        <f t="shared" si="0"/>
        <v/>
      </c>
      <c r="K11" t="str">
        <f>IF(E11&lt;&gt;"",VLOOKUP(E11,'Caractéristique navire de pêche'!$B:$E,3,0),"")</f>
        <v/>
      </c>
      <c r="L11" t="s">
        <v>27</v>
      </c>
      <c r="M11" t="str">
        <f>IF(E11&lt;&gt;"",_xlfn.LET(_xlpm.te_reel,VLOOKUP(E11,Tableau13[[#All],[Nom du Navire ]:[Tirant d''eau (m)]],4,0),_xlpm.longueur,VLOOKUP(E11,Tableau13[[#All],[Nom du Navire ]:[Tirant d''eau (m)]],2,0),_xlpm.largeur,VLOOKUP(E11,Tableau13[[#All],[Nom du Navire ]:[Tirant d''eau (m)]],3,0),_xlpm.te_theorique,0.14*SQRT(_xlpm.longueur*_xlpm.largeur),IF(_xlpm.te_reel&gt;=_xlpm.te_theorique,_xlpm.te_reel,ROUND(_xlpm.te_theorique,2))),"")</f>
        <v/>
      </c>
      <c r="N11" t="str">
        <f t="shared" si="1"/>
        <v/>
      </c>
      <c r="O11" t="str">
        <f t="shared" si="2"/>
        <v/>
      </c>
      <c r="P11" t="str">
        <f t="shared" si="3"/>
        <v/>
      </c>
      <c r="Q11" t="str">
        <f t="shared" si="10"/>
        <v/>
      </c>
      <c r="R11" t="str" cm="1">
        <f t="array" ref="R11">IF(E11&lt;&gt;"",IF(COUNTIFS($E$2:E11,E11,$F$2:F11,"&gt;="&amp;DATE(YEAR(F11),1,1),$F$2:F11,"&lt;="&amp;DATE(YEAR(Q:QF11),12,31))&lt;=6,0,IF(COUNTIFS($E$2:E11,E11,$F$2:F11,"&gt;="&amp;DATE(YEAR(F11),1,1),$F$2:F11,"&lt;="&amp;DATE(YEAR(F11),12,31))&lt;=15,-0.1,IF(COUNTIFS($E$2:E11,E11,$F$2:F11,"&gt;="&amp;DATE(YEAR(F11),1,1),$F$2:F11,"&lt;="&amp;DATE(YEAR(F11),12,31))&lt;=30,-0.15,IF(COUNTIFS($E$2:E11,E11,$F$2:F11,"&gt;="&amp;DATE(YEAR(F11),1,1),$F$2:F11,"&lt;="&amp;DATE(YEAR(F11),12,31))&lt;=60,-0.2,IF(COUNTIFS($E$2:E11,E11,$F$2:F11,"&gt;="&amp;DATE(YEAR(F11),1,1),$F$2:F11,"&lt;="&amp;DATE(YEAR(F11),12,31))&lt;=120,-0.25,-0.3))))),"")</f>
        <v/>
      </c>
      <c r="S11" t="str">
        <f t="shared" si="4"/>
        <v/>
      </c>
      <c r="T11" t="str">
        <f t="shared" si="5"/>
        <v/>
      </c>
      <c r="U11" t="str">
        <f t="shared" si="6"/>
        <v/>
      </c>
      <c r="V11" t="str">
        <f t="shared" si="7"/>
        <v/>
      </c>
      <c r="W11" t="str">
        <f t="shared" si="8"/>
        <v/>
      </c>
      <c r="X11" t="str">
        <f t="shared" si="9"/>
        <v/>
      </c>
    </row>
    <row r="12" spans="1:24" x14ac:dyDescent="0.35">
      <c r="C12" t="str">
        <f>IF(B12&lt;&gt;"",VLOOKUP(B12,Tableau3[#All],2,0),"")</f>
        <v/>
      </c>
      <c r="D12" t="str">
        <f t="shared" si="0"/>
        <v/>
      </c>
      <c r="K12" t="str">
        <f>IF(E12&lt;&gt;"",VLOOKUP(E12,'Caractéristique navire de pêche'!$B:$E,3,0),"")</f>
        <v/>
      </c>
      <c r="L12" t="s">
        <v>27</v>
      </c>
      <c r="M12" t="str">
        <f>IF(E12&lt;&gt;"",_xlfn.LET(_xlpm.te_reel,VLOOKUP(E12,Tableau13[[#All],[Nom du Navire ]:[Tirant d''eau (m)]],4,0),_xlpm.longueur,VLOOKUP(E12,Tableau13[[#All],[Nom du Navire ]:[Tirant d''eau (m)]],2,0),_xlpm.largeur,VLOOKUP(E12,Tableau13[[#All],[Nom du Navire ]:[Tirant d''eau (m)]],3,0),_xlpm.te_theorique,0.14*SQRT(_xlpm.longueur*_xlpm.largeur),IF(_xlpm.te_reel&gt;=_xlpm.te_theorique,_xlpm.te_reel,ROUND(_xlpm.te_theorique,2))),"")</f>
        <v/>
      </c>
      <c r="N12" t="str">
        <f t="shared" si="1"/>
        <v/>
      </c>
      <c r="O12" t="str">
        <f t="shared" si="2"/>
        <v/>
      </c>
      <c r="P12" t="str">
        <f t="shared" si="3"/>
        <v/>
      </c>
      <c r="Q12" t="str">
        <f t="shared" si="10"/>
        <v/>
      </c>
      <c r="R12" t="str" cm="1">
        <f t="array" ref="R12">IF(E12&lt;&gt;"",IF(COUNTIFS($E$2:E12,E12,$F$2:F12,"&gt;="&amp;DATE(YEAR(F12),1,1),$F$2:F12,"&lt;="&amp;DATE(YEAR(Q:QF12),12,31))&lt;=6,0,IF(COUNTIFS($E$2:E12,E12,$F$2:F12,"&gt;="&amp;DATE(YEAR(F12),1,1),$F$2:F12,"&lt;="&amp;DATE(YEAR(F12),12,31))&lt;=15,-0.1,IF(COUNTIFS($E$2:E12,E12,$F$2:F12,"&gt;="&amp;DATE(YEAR(F12),1,1),$F$2:F12,"&lt;="&amp;DATE(YEAR(F12),12,31))&lt;=30,-0.15,IF(COUNTIFS($E$2:E12,E12,$F$2:F12,"&gt;="&amp;DATE(YEAR(F12),1,1),$F$2:F12,"&lt;="&amp;DATE(YEAR(F12),12,31))&lt;=60,-0.2,IF(COUNTIFS($E$2:E12,E12,$F$2:F12,"&gt;="&amp;DATE(YEAR(F12),1,1),$F$2:F12,"&lt;="&amp;DATE(YEAR(F12),12,31))&lt;=120,-0.25,-0.3))))),"")</f>
        <v/>
      </c>
      <c r="S12" t="str">
        <f t="shared" si="4"/>
        <v/>
      </c>
      <c r="T12" t="str">
        <f t="shared" si="5"/>
        <v/>
      </c>
      <c r="U12" t="str">
        <f t="shared" si="6"/>
        <v/>
      </c>
      <c r="V12" t="str">
        <f t="shared" si="7"/>
        <v/>
      </c>
      <c r="W12" t="str">
        <f t="shared" si="8"/>
        <v/>
      </c>
      <c r="X12" t="str">
        <f t="shared" si="9"/>
        <v/>
      </c>
    </row>
    <row r="13" spans="1:24" x14ac:dyDescent="0.35">
      <c r="C13" t="str">
        <f>IF(B13&lt;&gt;"",VLOOKUP(B13,Tableau3[#All],2,0),"")</f>
        <v/>
      </c>
      <c r="D13" t="str">
        <f t="shared" si="0"/>
        <v/>
      </c>
      <c r="K13" t="str">
        <f>IF(E13&lt;&gt;"",VLOOKUP(E13,'Caractéristique navire de pêche'!$B:$E,3,0),"")</f>
        <v/>
      </c>
      <c r="L13" t="s">
        <v>27</v>
      </c>
      <c r="M13" t="str">
        <f>IF(E13&lt;&gt;"",_xlfn.LET(_xlpm.te_reel,VLOOKUP(E13,Tableau13[[#All],[Nom du Navire ]:[Tirant d''eau (m)]],4,0),_xlpm.longueur,VLOOKUP(E13,Tableau13[[#All],[Nom du Navire ]:[Tirant d''eau (m)]],2,0),_xlpm.largeur,VLOOKUP(E13,Tableau13[[#All],[Nom du Navire ]:[Tirant d''eau (m)]],3,0),_xlpm.te_theorique,0.14*SQRT(_xlpm.longueur*_xlpm.largeur),IF(_xlpm.te_reel&gt;=_xlpm.te_theorique,_xlpm.te_reel,ROUND(_xlpm.te_theorique,2))),"")</f>
        <v/>
      </c>
      <c r="N13" t="str">
        <f t="shared" si="1"/>
        <v/>
      </c>
      <c r="O13" t="str">
        <f t="shared" si="2"/>
        <v/>
      </c>
      <c r="P13" t="str">
        <f t="shared" si="3"/>
        <v/>
      </c>
      <c r="Q13" t="str">
        <f t="shared" si="10"/>
        <v/>
      </c>
      <c r="R13" t="str" cm="1">
        <f t="array" ref="R13">IF(E13&lt;&gt;"",IF(COUNTIFS($E$2:E13,E13,$F$2:F13,"&gt;="&amp;DATE(YEAR(F13),1,1),$F$2:F13,"&lt;="&amp;DATE(YEAR(Q:QF13),12,31))&lt;=6,0,IF(COUNTIFS($E$2:E13,E13,$F$2:F13,"&gt;="&amp;DATE(YEAR(F13),1,1),$F$2:F13,"&lt;="&amp;DATE(YEAR(F13),12,31))&lt;=15,-0.1,IF(COUNTIFS($E$2:E13,E13,$F$2:F13,"&gt;="&amp;DATE(YEAR(F13),1,1),$F$2:F13,"&lt;="&amp;DATE(YEAR(F13),12,31))&lt;=30,-0.15,IF(COUNTIFS($E$2:E13,E13,$F$2:F13,"&gt;="&amp;DATE(YEAR(F13),1,1),$F$2:F13,"&lt;="&amp;DATE(YEAR(F13),12,31))&lt;=60,-0.2,IF(COUNTIFS($E$2:E13,E13,$F$2:F13,"&gt;="&amp;DATE(YEAR(F13),1,1),$F$2:F13,"&lt;="&amp;DATE(YEAR(F13),12,31))&lt;=120,-0.25,-0.3))))),"")</f>
        <v/>
      </c>
      <c r="S13" t="str">
        <f t="shared" si="4"/>
        <v/>
      </c>
      <c r="T13" t="str">
        <f t="shared" si="5"/>
        <v/>
      </c>
      <c r="U13" t="str">
        <f t="shared" si="6"/>
        <v/>
      </c>
      <c r="V13" t="str">
        <f t="shared" si="7"/>
        <v/>
      </c>
      <c r="W13" t="str">
        <f t="shared" si="8"/>
        <v/>
      </c>
      <c r="X13" t="str">
        <f t="shared" si="9"/>
        <v/>
      </c>
    </row>
    <row r="14" spans="1:24" x14ac:dyDescent="0.35">
      <c r="C14" t="str">
        <f>IF(B14&lt;&gt;"",VLOOKUP(B14,Tableau3[#All],2,0),"")</f>
        <v/>
      </c>
      <c r="D14" t="str">
        <f t="shared" si="0"/>
        <v/>
      </c>
      <c r="K14" t="str">
        <f>IF(E14&lt;&gt;"",VLOOKUP(E14,'Caractéristique navire de pêche'!$B:$E,3,0),"")</f>
        <v/>
      </c>
      <c r="L14" t="s">
        <v>27</v>
      </c>
      <c r="M14" t="str">
        <f>IF(E14&lt;&gt;"",_xlfn.LET(_xlpm.te_reel,VLOOKUP(E14,Tableau13[[#All],[Nom du Navire ]:[Tirant d''eau (m)]],4,0),_xlpm.longueur,VLOOKUP(E14,Tableau13[[#All],[Nom du Navire ]:[Tirant d''eau (m)]],2,0),_xlpm.largeur,VLOOKUP(E14,Tableau13[[#All],[Nom du Navire ]:[Tirant d''eau (m)]],3,0),_xlpm.te_theorique,0.14*SQRT(_xlpm.longueur*_xlpm.largeur),IF(_xlpm.te_reel&gt;=_xlpm.te_theorique,_xlpm.te_reel,ROUND(_xlpm.te_theorique,2))),"")</f>
        <v/>
      </c>
      <c r="N14" t="str">
        <f t="shared" si="1"/>
        <v/>
      </c>
      <c r="O14" t="str">
        <f t="shared" si="2"/>
        <v/>
      </c>
      <c r="P14" t="str">
        <f t="shared" si="3"/>
        <v/>
      </c>
      <c r="Q14" t="str">
        <f t="shared" si="10"/>
        <v/>
      </c>
      <c r="R14" t="str" cm="1">
        <f t="array" ref="R14">IF(E14&lt;&gt;"",IF(COUNTIFS($E$2:E14,E14,$F$2:F14,"&gt;="&amp;DATE(YEAR(F14),1,1),$F$2:F14,"&lt;="&amp;DATE(YEAR(Q:QF14),12,31))&lt;=6,0,IF(COUNTIFS($E$2:E14,E14,$F$2:F14,"&gt;="&amp;DATE(YEAR(F14),1,1),$F$2:F14,"&lt;="&amp;DATE(YEAR(F14),12,31))&lt;=15,-0.1,IF(COUNTIFS($E$2:E14,E14,$F$2:F14,"&gt;="&amp;DATE(YEAR(F14),1,1),$F$2:F14,"&lt;="&amp;DATE(YEAR(F14),12,31))&lt;=30,-0.15,IF(COUNTIFS($E$2:E14,E14,$F$2:F14,"&gt;="&amp;DATE(YEAR(F14),1,1),$F$2:F14,"&lt;="&amp;DATE(YEAR(F14),12,31))&lt;=60,-0.2,IF(COUNTIFS($E$2:E14,E14,$F$2:F14,"&gt;="&amp;DATE(YEAR(F14),1,1),$F$2:F14,"&lt;="&amp;DATE(YEAR(F14),12,31))&lt;=120,-0.25,-0.3))))),"")</f>
        <v/>
      </c>
      <c r="S14" t="str">
        <f t="shared" si="4"/>
        <v/>
      </c>
      <c r="T14" t="str">
        <f t="shared" si="5"/>
        <v/>
      </c>
      <c r="U14" t="str">
        <f t="shared" si="6"/>
        <v/>
      </c>
      <c r="V14" t="str">
        <f t="shared" si="7"/>
        <v/>
      </c>
      <c r="W14" t="str">
        <f t="shared" si="8"/>
        <v/>
      </c>
      <c r="X14" t="str">
        <f t="shared" si="9"/>
        <v/>
      </c>
    </row>
    <row r="15" spans="1:24" x14ac:dyDescent="0.35">
      <c r="C15" t="str">
        <f>IF(B15&lt;&gt;"",VLOOKUP(B15,Tableau3[#All],2,0),"")</f>
        <v/>
      </c>
      <c r="D15" t="str">
        <f t="shared" si="0"/>
        <v/>
      </c>
      <c r="K15" t="str">
        <f>IF(E15&lt;&gt;"",VLOOKUP(E15,'Caractéristique navire de pêche'!$B:$E,3,0),"")</f>
        <v/>
      </c>
      <c r="L15" t="s">
        <v>27</v>
      </c>
      <c r="M15" t="str">
        <f>IF(E15&lt;&gt;"",_xlfn.LET(_xlpm.te_reel,VLOOKUP(E15,Tableau13[[#All],[Nom du Navire ]:[Tirant d''eau (m)]],4,0),_xlpm.longueur,VLOOKUP(E15,Tableau13[[#All],[Nom du Navire ]:[Tirant d''eau (m)]],2,0),_xlpm.largeur,VLOOKUP(E15,Tableau13[[#All],[Nom du Navire ]:[Tirant d''eau (m)]],3,0),_xlpm.te_theorique,0.14*SQRT(_xlpm.longueur*_xlpm.largeur),IF(_xlpm.te_reel&gt;=_xlpm.te_theorique,_xlpm.te_reel,ROUND(_xlpm.te_theorique,2))),"")</f>
        <v/>
      </c>
      <c r="N15" t="str">
        <f t="shared" si="1"/>
        <v/>
      </c>
      <c r="O15" t="str">
        <f t="shared" si="2"/>
        <v/>
      </c>
      <c r="P15" t="str">
        <f t="shared" si="3"/>
        <v/>
      </c>
      <c r="Q15" t="str">
        <f t="shared" si="10"/>
        <v/>
      </c>
      <c r="R15" t="str" cm="1">
        <f t="array" ref="R15">IF(E15&lt;&gt;"",IF(COUNTIFS($E$2:E15,E15,$F$2:F15,"&gt;="&amp;DATE(YEAR(F15),1,1),$F$2:F15,"&lt;="&amp;DATE(YEAR(Q:QF15),12,31))&lt;=6,0,IF(COUNTIFS($E$2:E15,E15,$F$2:F15,"&gt;="&amp;DATE(YEAR(F15),1,1),$F$2:F15,"&lt;="&amp;DATE(YEAR(F15),12,31))&lt;=15,-0.1,IF(COUNTIFS($E$2:E15,E15,$F$2:F15,"&gt;="&amp;DATE(YEAR(F15),1,1),$F$2:F15,"&lt;="&amp;DATE(YEAR(F15),12,31))&lt;=30,-0.15,IF(COUNTIFS($E$2:E15,E15,$F$2:F15,"&gt;="&amp;DATE(YEAR(F15),1,1),$F$2:F15,"&lt;="&amp;DATE(YEAR(F15),12,31))&lt;=60,-0.2,IF(COUNTIFS($E$2:E15,E15,$F$2:F15,"&gt;="&amp;DATE(YEAR(F15),1,1),$F$2:F15,"&lt;="&amp;DATE(YEAR(F15),12,31))&lt;=120,-0.25,-0.3))))),"")</f>
        <v/>
      </c>
      <c r="S15" t="str">
        <f t="shared" si="4"/>
        <v/>
      </c>
      <c r="T15" t="str">
        <f t="shared" si="5"/>
        <v/>
      </c>
      <c r="U15" t="str">
        <f t="shared" si="6"/>
        <v/>
      </c>
      <c r="V15" t="str">
        <f t="shared" si="7"/>
        <v/>
      </c>
      <c r="W15" t="str">
        <f t="shared" si="8"/>
        <v/>
      </c>
      <c r="X15" t="str">
        <f t="shared" si="9"/>
        <v/>
      </c>
    </row>
    <row r="16" spans="1:24" x14ac:dyDescent="0.35">
      <c r="C16" t="str">
        <f>IF(B16&lt;&gt;"",VLOOKUP(B16,Tableau3[#All],2,0),"")</f>
        <v/>
      </c>
      <c r="D16" t="str">
        <f t="shared" si="0"/>
        <v/>
      </c>
      <c r="K16" t="str">
        <f>IF(E16&lt;&gt;"",VLOOKUP(E16,'Caractéristique navire de pêche'!$B:$E,3,0),"")</f>
        <v/>
      </c>
      <c r="L16" t="s">
        <v>27</v>
      </c>
      <c r="M16" t="str">
        <f>IF(E16&lt;&gt;"",_xlfn.LET(_xlpm.te_reel,VLOOKUP(E16,Tableau13[[#All],[Nom du Navire ]:[Tirant d''eau (m)]],4,0),_xlpm.longueur,VLOOKUP(E16,Tableau13[[#All],[Nom du Navire ]:[Tirant d''eau (m)]],2,0),_xlpm.largeur,VLOOKUP(E16,Tableau13[[#All],[Nom du Navire ]:[Tirant d''eau (m)]],3,0),_xlpm.te_theorique,0.14*SQRT(_xlpm.longueur*_xlpm.largeur),IF(_xlpm.te_reel&gt;=_xlpm.te_theorique,_xlpm.te_reel,ROUND(_xlpm.te_theorique,2))),"")</f>
        <v/>
      </c>
      <c r="N16" t="str">
        <f t="shared" si="1"/>
        <v/>
      </c>
      <c r="O16" t="str">
        <f t="shared" si="2"/>
        <v/>
      </c>
      <c r="P16" t="str">
        <f t="shared" si="3"/>
        <v/>
      </c>
      <c r="Q16" t="str">
        <f t="shared" si="10"/>
        <v/>
      </c>
      <c r="R16" t="str" cm="1">
        <f t="array" ref="R16">IF(E16&lt;&gt;"",IF(COUNTIFS($E$2:E16,E16,$F$2:F16,"&gt;="&amp;DATE(YEAR(F16),1,1),$F$2:F16,"&lt;="&amp;DATE(YEAR(Q:QF16),12,31))&lt;=6,0,IF(COUNTIFS($E$2:E16,E16,$F$2:F16,"&gt;="&amp;DATE(YEAR(F16),1,1),$F$2:F16,"&lt;="&amp;DATE(YEAR(F16),12,31))&lt;=15,-0.1,IF(COUNTIFS($E$2:E16,E16,$F$2:F16,"&gt;="&amp;DATE(YEAR(F16),1,1),$F$2:F16,"&lt;="&amp;DATE(YEAR(F16),12,31))&lt;=30,-0.15,IF(COUNTIFS($E$2:E16,E16,$F$2:F16,"&gt;="&amp;DATE(YEAR(F16),1,1),$F$2:F16,"&lt;="&amp;DATE(YEAR(F16),12,31))&lt;=60,-0.2,IF(COUNTIFS($E$2:E16,E16,$F$2:F16,"&gt;="&amp;DATE(YEAR(F16),1,1),$F$2:F16,"&lt;="&amp;DATE(YEAR(F16),12,31))&lt;=120,-0.25,-0.3))))),"")</f>
        <v/>
      </c>
      <c r="S16" t="str">
        <f t="shared" si="4"/>
        <v/>
      </c>
      <c r="T16" t="str">
        <f t="shared" si="5"/>
        <v/>
      </c>
      <c r="U16" t="str">
        <f t="shared" si="6"/>
        <v/>
      </c>
      <c r="V16" t="str">
        <f t="shared" si="7"/>
        <v/>
      </c>
      <c r="W16" t="str">
        <f t="shared" si="8"/>
        <v/>
      </c>
      <c r="X16" t="str">
        <f t="shared" si="9"/>
        <v/>
      </c>
    </row>
    <row r="17" spans="3:24" x14ac:dyDescent="0.35">
      <c r="C17" t="str">
        <f>IF(B17&lt;&gt;"",VLOOKUP(B17,Tableau3[#All],2,0),"")</f>
        <v/>
      </c>
      <c r="D17" t="str">
        <f t="shared" si="0"/>
        <v/>
      </c>
      <c r="K17" t="str">
        <f>IF(E17&lt;&gt;"",VLOOKUP(E17,'Caractéristique navire de pêche'!$B:$E,3,0),"")</f>
        <v/>
      </c>
      <c r="L17" t="s">
        <v>27</v>
      </c>
      <c r="M17" t="str">
        <f>IF(E17&lt;&gt;"",_xlfn.LET(_xlpm.te_reel,VLOOKUP(E17,Tableau13[[#All],[Nom du Navire ]:[Tirant d''eau (m)]],4,0),_xlpm.longueur,VLOOKUP(E17,Tableau13[[#All],[Nom du Navire ]:[Tirant d''eau (m)]],2,0),_xlpm.largeur,VLOOKUP(E17,Tableau13[[#All],[Nom du Navire ]:[Tirant d''eau (m)]],3,0),_xlpm.te_theorique,0.14*SQRT(_xlpm.longueur*_xlpm.largeur),IF(_xlpm.te_reel&gt;=_xlpm.te_theorique,_xlpm.te_reel,ROUND(_xlpm.te_theorique,2))),"")</f>
        <v/>
      </c>
      <c r="N17" t="str">
        <f t="shared" si="1"/>
        <v/>
      </c>
      <c r="O17" t="str">
        <f t="shared" si="2"/>
        <v/>
      </c>
      <c r="P17" t="str">
        <f t="shared" si="3"/>
        <v/>
      </c>
      <c r="Q17" t="str">
        <f t="shared" si="10"/>
        <v/>
      </c>
      <c r="R17" t="str" cm="1">
        <f t="array" ref="R17">IF(E17&lt;&gt;"",IF(COUNTIFS($E$2:E17,E17,$F$2:F17,"&gt;="&amp;DATE(YEAR(F17),1,1),$F$2:F17,"&lt;="&amp;DATE(YEAR(Q:QF17),12,31))&lt;=6,0,IF(COUNTIFS($E$2:E17,E17,$F$2:F17,"&gt;="&amp;DATE(YEAR(F17),1,1),$F$2:F17,"&lt;="&amp;DATE(YEAR(F17),12,31))&lt;=15,-0.1,IF(COUNTIFS($E$2:E17,E17,$F$2:F17,"&gt;="&amp;DATE(YEAR(F17),1,1),$F$2:F17,"&lt;="&amp;DATE(YEAR(F17),12,31))&lt;=30,-0.15,IF(COUNTIFS($E$2:E17,E17,$F$2:F17,"&gt;="&amp;DATE(YEAR(F17),1,1),$F$2:F17,"&lt;="&amp;DATE(YEAR(F17),12,31))&lt;=60,-0.2,IF(COUNTIFS($E$2:E17,E17,$F$2:F17,"&gt;="&amp;DATE(YEAR(F17),1,1),$F$2:F17,"&lt;="&amp;DATE(YEAR(F17),12,31))&lt;=120,-0.25,-0.3))))),"")</f>
        <v/>
      </c>
      <c r="S17" t="str">
        <f t="shared" si="4"/>
        <v/>
      </c>
      <c r="T17" t="str">
        <f t="shared" si="5"/>
        <v/>
      </c>
      <c r="U17" t="str">
        <f t="shared" si="6"/>
        <v/>
      </c>
      <c r="V17" t="str">
        <f t="shared" si="7"/>
        <v/>
      </c>
      <c r="W17" t="str">
        <f t="shared" si="8"/>
        <v/>
      </c>
      <c r="X17" t="str">
        <f t="shared" si="9"/>
        <v/>
      </c>
    </row>
    <row r="18" spans="3:24" x14ac:dyDescent="0.35">
      <c r="C18" t="str">
        <f>IF(B18&lt;&gt;"",VLOOKUP(B18,Tableau3[#All],2,0),"")</f>
        <v/>
      </c>
      <c r="D18" t="str">
        <f t="shared" si="0"/>
        <v/>
      </c>
      <c r="K18" t="str">
        <f>IF(E18&lt;&gt;"",VLOOKUP(E18,'Caractéristique navire de pêche'!$B:$E,3,0),"")</f>
        <v/>
      </c>
      <c r="L18" t="s">
        <v>27</v>
      </c>
      <c r="M18" t="str">
        <f>IF(E18&lt;&gt;"",_xlfn.LET(_xlpm.te_reel,VLOOKUP(E18,Tableau13[[#All],[Nom du Navire ]:[Tirant d''eau (m)]],4,0),_xlpm.longueur,VLOOKUP(E18,Tableau13[[#All],[Nom du Navire ]:[Tirant d''eau (m)]],2,0),_xlpm.largeur,VLOOKUP(E18,Tableau13[[#All],[Nom du Navire ]:[Tirant d''eau (m)]],3,0),_xlpm.te_theorique,0.14*SQRT(_xlpm.longueur*_xlpm.largeur),IF(_xlpm.te_reel&gt;=_xlpm.te_theorique,_xlpm.te_reel,ROUND(_xlpm.te_theorique,2))),"")</f>
        <v/>
      </c>
      <c r="N18" t="str">
        <f t="shared" si="1"/>
        <v/>
      </c>
      <c r="O18" t="str">
        <f t="shared" si="2"/>
        <v/>
      </c>
      <c r="P18" t="str">
        <f t="shared" si="3"/>
        <v/>
      </c>
      <c r="Q18" t="str">
        <f t="shared" si="10"/>
        <v/>
      </c>
      <c r="R18" t="str" cm="1">
        <f t="array" ref="R18">IF(E18&lt;&gt;"",IF(COUNTIFS($E$2:E18,E18,$F$2:F18,"&gt;="&amp;DATE(YEAR(F18),1,1),$F$2:F18,"&lt;="&amp;DATE(YEAR(Q:QF18),12,31))&lt;=6,0,IF(COUNTIFS($E$2:E18,E18,$F$2:F18,"&gt;="&amp;DATE(YEAR(F18),1,1),$F$2:F18,"&lt;="&amp;DATE(YEAR(F18),12,31))&lt;=15,-0.1,IF(COUNTIFS($E$2:E18,E18,$F$2:F18,"&gt;="&amp;DATE(YEAR(F18),1,1),$F$2:F18,"&lt;="&amp;DATE(YEAR(F18),12,31))&lt;=30,-0.15,IF(COUNTIFS($E$2:E18,E18,$F$2:F18,"&gt;="&amp;DATE(YEAR(F18),1,1),$F$2:F18,"&lt;="&amp;DATE(YEAR(F18),12,31))&lt;=60,-0.2,IF(COUNTIFS($E$2:E18,E18,$F$2:F18,"&gt;="&amp;DATE(YEAR(F18),1,1),$F$2:F18,"&lt;="&amp;DATE(YEAR(F18),12,31))&lt;=120,-0.25,-0.3))))),"")</f>
        <v/>
      </c>
      <c r="S18" t="str">
        <f t="shared" si="4"/>
        <v/>
      </c>
      <c r="T18" t="str">
        <f t="shared" si="5"/>
        <v/>
      </c>
      <c r="U18" t="str">
        <f t="shared" si="6"/>
        <v/>
      </c>
      <c r="V18" t="str">
        <f t="shared" si="7"/>
        <v/>
      </c>
      <c r="W18" t="str">
        <f t="shared" si="8"/>
        <v/>
      </c>
      <c r="X18" t="str">
        <f t="shared" si="9"/>
        <v/>
      </c>
    </row>
    <row r="19" spans="3:24" x14ac:dyDescent="0.35">
      <c r="C19" t="str">
        <f>IF(B19&lt;&gt;"",VLOOKUP(B19,Tableau3[#All],2,0),"")</f>
        <v/>
      </c>
      <c r="D19" t="str">
        <f t="shared" si="0"/>
        <v/>
      </c>
      <c r="K19" t="str">
        <f>IF(E19&lt;&gt;"",VLOOKUP(E19,'Caractéristique navire de pêche'!$B:$E,3,0),"")</f>
        <v/>
      </c>
      <c r="L19" t="s">
        <v>27</v>
      </c>
      <c r="M19" t="str">
        <f>IF(E19&lt;&gt;"",_xlfn.LET(_xlpm.te_reel,VLOOKUP(E19,Tableau13[[#All],[Nom du Navire ]:[Tirant d''eau (m)]],4,0),_xlpm.longueur,VLOOKUP(E19,Tableau13[[#All],[Nom du Navire ]:[Tirant d''eau (m)]],2,0),_xlpm.largeur,VLOOKUP(E19,Tableau13[[#All],[Nom du Navire ]:[Tirant d''eau (m)]],3,0),_xlpm.te_theorique,0.14*SQRT(_xlpm.longueur*_xlpm.largeur),IF(_xlpm.te_reel&gt;=_xlpm.te_theorique,_xlpm.te_reel,ROUND(_xlpm.te_theorique,2))),"")</f>
        <v/>
      </c>
      <c r="N19" t="str">
        <f t="shared" si="1"/>
        <v/>
      </c>
      <c r="O19" t="str">
        <f t="shared" si="2"/>
        <v/>
      </c>
      <c r="P19" t="str">
        <f t="shared" si="3"/>
        <v/>
      </c>
      <c r="Q19" t="str">
        <f t="shared" si="10"/>
        <v/>
      </c>
      <c r="R19" t="str" cm="1">
        <f t="array" ref="R19">IF(E19&lt;&gt;"",IF(COUNTIFS($E$2:E19,E19,$F$2:F19,"&gt;="&amp;DATE(YEAR(F19),1,1),$F$2:F19,"&lt;="&amp;DATE(YEAR(Q:QF19),12,31))&lt;=6,0,IF(COUNTIFS($E$2:E19,E19,$F$2:F19,"&gt;="&amp;DATE(YEAR(F19),1,1),$F$2:F19,"&lt;="&amp;DATE(YEAR(F19),12,31))&lt;=15,-0.1,IF(COUNTIFS($E$2:E19,E19,$F$2:F19,"&gt;="&amp;DATE(YEAR(F19),1,1),$F$2:F19,"&lt;="&amp;DATE(YEAR(F19),12,31))&lt;=30,-0.15,IF(COUNTIFS($E$2:E19,E19,$F$2:F19,"&gt;="&amp;DATE(YEAR(F19),1,1),$F$2:F19,"&lt;="&amp;DATE(YEAR(F19),12,31))&lt;=60,-0.2,IF(COUNTIFS($E$2:E19,E19,$F$2:F19,"&gt;="&amp;DATE(YEAR(F19),1,1),$F$2:F19,"&lt;="&amp;DATE(YEAR(F19),12,31))&lt;=120,-0.25,-0.3))))),"")</f>
        <v/>
      </c>
      <c r="S19" t="str">
        <f t="shared" si="4"/>
        <v/>
      </c>
      <c r="T19" t="str">
        <f t="shared" si="5"/>
        <v/>
      </c>
      <c r="U19" t="str">
        <f t="shared" si="6"/>
        <v/>
      </c>
      <c r="V19" t="str">
        <f t="shared" si="7"/>
        <v/>
      </c>
      <c r="W19" t="str">
        <f t="shared" si="8"/>
        <v/>
      </c>
      <c r="X19" t="str">
        <f t="shared" si="9"/>
        <v/>
      </c>
    </row>
    <row r="20" spans="3:24" x14ac:dyDescent="0.35">
      <c r="C20" t="str">
        <f>IF(B20&lt;&gt;"",VLOOKUP(B20,Tableau3[#All],2,0),"")</f>
        <v/>
      </c>
      <c r="D20" t="str">
        <f t="shared" si="0"/>
        <v/>
      </c>
      <c r="K20" t="str">
        <f>IF(E20&lt;&gt;"",VLOOKUP(E20,'Caractéristique navire de pêche'!$B:$E,3,0),"")</f>
        <v/>
      </c>
      <c r="L20" t="s">
        <v>27</v>
      </c>
      <c r="M20" t="str">
        <f>IF(E20&lt;&gt;"",_xlfn.LET(_xlpm.te_reel,VLOOKUP(E20,Tableau13[[#All],[Nom du Navire ]:[Tirant d''eau (m)]],4,0),_xlpm.longueur,VLOOKUP(E20,Tableau13[[#All],[Nom du Navire ]:[Tirant d''eau (m)]],2,0),_xlpm.largeur,VLOOKUP(E20,Tableau13[[#All],[Nom du Navire ]:[Tirant d''eau (m)]],3,0),_xlpm.te_theorique,0.14*SQRT(_xlpm.longueur*_xlpm.largeur),IF(_xlpm.te_reel&gt;=_xlpm.te_theorique,_xlpm.te_reel,ROUND(_xlpm.te_theorique,2))),"")</f>
        <v/>
      </c>
      <c r="N20" t="str">
        <f t="shared" si="1"/>
        <v/>
      </c>
      <c r="O20" t="str">
        <f t="shared" si="2"/>
        <v/>
      </c>
      <c r="P20" t="str">
        <f t="shared" si="3"/>
        <v/>
      </c>
      <c r="Q20" t="str">
        <f t="shared" si="10"/>
        <v/>
      </c>
      <c r="R20" t="str" cm="1">
        <f t="array" ref="R20">IF(E20&lt;&gt;"",IF(COUNTIFS($E$2:E20,E20,$F$2:F20,"&gt;="&amp;DATE(YEAR(F20),1,1),$F$2:F20,"&lt;="&amp;DATE(YEAR(Q:QF20),12,31))&lt;=6,0,IF(COUNTIFS($E$2:E20,E20,$F$2:F20,"&gt;="&amp;DATE(YEAR(F20),1,1),$F$2:F20,"&lt;="&amp;DATE(YEAR(F20),12,31))&lt;=15,-0.1,IF(COUNTIFS($E$2:E20,E20,$F$2:F20,"&gt;="&amp;DATE(YEAR(F20),1,1),$F$2:F20,"&lt;="&amp;DATE(YEAR(F20),12,31))&lt;=30,-0.15,IF(COUNTIFS($E$2:E20,E20,$F$2:F20,"&gt;="&amp;DATE(YEAR(F20),1,1),$F$2:F20,"&lt;="&amp;DATE(YEAR(F20),12,31))&lt;=60,-0.2,IF(COUNTIFS($E$2:E20,E20,$F$2:F20,"&gt;="&amp;DATE(YEAR(F20),1,1),$F$2:F20,"&lt;="&amp;DATE(YEAR(F20),12,31))&lt;=120,-0.25,-0.3))))),"")</f>
        <v/>
      </c>
      <c r="S20" t="str">
        <f t="shared" si="4"/>
        <v/>
      </c>
      <c r="T20" t="str">
        <f t="shared" si="5"/>
        <v/>
      </c>
      <c r="U20" t="str">
        <f t="shared" si="6"/>
        <v/>
      </c>
      <c r="V20" t="str">
        <f t="shared" si="7"/>
        <v/>
      </c>
      <c r="W20" t="str">
        <f t="shared" si="8"/>
        <v/>
      </c>
      <c r="X20" t="str">
        <f t="shared" si="9"/>
        <v/>
      </c>
    </row>
    <row r="21" spans="3:24" x14ac:dyDescent="0.35">
      <c r="C21" t="str">
        <f>IF(B21&lt;&gt;"",VLOOKUP(B21,Tableau3[#All],2,0),"")</f>
        <v/>
      </c>
      <c r="D21" t="str">
        <f t="shared" si="0"/>
        <v/>
      </c>
      <c r="K21" t="str">
        <f>IF(E21&lt;&gt;"",VLOOKUP(E21,'Caractéristique navire de pêche'!$B:$E,3,0),"")</f>
        <v/>
      </c>
      <c r="L21" t="s">
        <v>27</v>
      </c>
      <c r="M21" t="str">
        <f>IF(E21&lt;&gt;"",_xlfn.LET(_xlpm.te_reel,VLOOKUP(E21,Tableau13[[#All],[Nom du Navire ]:[Tirant d''eau (m)]],4,0),_xlpm.longueur,VLOOKUP(E21,Tableau13[[#All],[Nom du Navire ]:[Tirant d''eau (m)]],2,0),_xlpm.largeur,VLOOKUP(E21,Tableau13[[#All],[Nom du Navire ]:[Tirant d''eau (m)]],3,0),_xlpm.te_theorique,0.14*SQRT(_xlpm.longueur*_xlpm.largeur),IF(_xlpm.te_reel&gt;=_xlpm.te_theorique,_xlpm.te_reel,ROUND(_xlpm.te_theorique,2))),"")</f>
        <v/>
      </c>
      <c r="N21" t="str">
        <f t="shared" si="1"/>
        <v/>
      </c>
      <c r="O21" t="str">
        <f t="shared" si="2"/>
        <v/>
      </c>
      <c r="P21" t="str">
        <f t="shared" si="3"/>
        <v/>
      </c>
      <c r="Q21" t="str">
        <f t="shared" si="10"/>
        <v/>
      </c>
      <c r="R21" t="str" cm="1">
        <f t="array" ref="R21">IF(E21&lt;&gt;"",IF(COUNTIFS($E$2:E21,E21,$F$2:F21,"&gt;="&amp;DATE(YEAR(F21),1,1),$F$2:F21,"&lt;="&amp;DATE(YEAR(Q:QF21),12,31))&lt;=6,0,IF(COUNTIFS($E$2:E21,E21,$F$2:F21,"&gt;="&amp;DATE(YEAR(F21),1,1),$F$2:F21,"&lt;="&amp;DATE(YEAR(F21),12,31))&lt;=15,-0.1,IF(COUNTIFS($E$2:E21,E21,$F$2:F21,"&gt;="&amp;DATE(YEAR(F21),1,1),$F$2:F21,"&lt;="&amp;DATE(YEAR(F21),12,31))&lt;=30,-0.15,IF(COUNTIFS($E$2:E21,E21,$F$2:F21,"&gt;="&amp;DATE(YEAR(F21),1,1),$F$2:F21,"&lt;="&amp;DATE(YEAR(F21),12,31))&lt;=60,-0.2,IF(COUNTIFS($E$2:E21,E21,$F$2:F21,"&gt;="&amp;DATE(YEAR(F21),1,1),$F$2:F21,"&lt;="&amp;DATE(YEAR(F21),12,31))&lt;=120,-0.25,-0.3))))),"")</f>
        <v/>
      </c>
      <c r="S21" t="str">
        <f t="shared" si="4"/>
        <v/>
      </c>
      <c r="T21" t="str">
        <f t="shared" si="5"/>
        <v/>
      </c>
      <c r="U21" t="str">
        <f t="shared" si="6"/>
        <v/>
      </c>
      <c r="V21" t="str">
        <f t="shared" si="7"/>
        <v/>
      </c>
      <c r="W21" t="str">
        <f t="shared" si="8"/>
        <v/>
      </c>
      <c r="X21" t="str">
        <f t="shared" si="9"/>
        <v/>
      </c>
    </row>
    <row r="22" spans="3:24" x14ac:dyDescent="0.35">
      <c r="C22" t="str">
        <f>IF(B22&lt;&gt;"",VLOOKUP(B22,Tableau3[#All],2,0),"")</f>
        <v/>
      </c>
      <c r="D22" t="str">
        <f t="shared" si="0"/>
        <v/>
      </c>
      <c r="K22" t="str">
        <f>IF(E22&lt;&gt;"",VLOOKUP(E22,'Caractéristique navire de pêche'!$B:$E,3,0),"")</f>
        <v/>
      </c>
      <c r="L22" t="s">
        <v>27</v>
      </c>
      <c r="M22" t="str">
        <f>IF(E22&lt;&gt;"",_xlfn.LET(_xlpm.te_reel,VLOOKUP(E22,Tableau13[[#All],[Nom du Navire ]:[Tirant d''eau (m)]],4,0),_xlpm.longueur,VLOOKUP(E22,Tableau13[[#All],[Nom du Navire ]:[Tirant d''eau (m)]],2,0),_xlpm.largeur,VLOOKUP(E22,Tableau13[[#All],[Nom du Navire ]:[Tirant d''eau (m)]],3,0),_xlpm.te_theorique,0.14*SQRT(_xlpm.longueur*_xlpm.largeur),IF(_xlpm.te_reel&gt;=_xlpm.te_theorique,_xlpm.te_reel,ROUND(_xlpm.te_theorique,2))),"")</f>
        <v/>
      </c>
      <c r="N22" t="str">
        <f t="shared" si="1"/>
        <v/>
      </c>
      <c r="O22" t="str">
        <f t="shared" si="2"/>
        <v/>
      </c>
      <c r="P22" t="str">
        <f t="shared" si="3"/>
        <v/>
      </c>
      <c r="Q22" t="str">
        <f t="shared" si="10"/>
        <v/>
      </c>
      <c r="R22" t="str" cm="1">
        <f t="array" ref="R22">IF(E22&lt;&gt;"",IF(COUNTIFS($E$2:E22,E22,$F$2:F22,"&gt;="&amp;DATE(YEAR(F22),1,1),$F$2:F22,"&lt;="&amp;DATE(YEAR(Q:QF22),12,31))&lt;=6,0,IF(COUNTIFS($E$2:E22,E22,$F$2:F22,"&gt;="&amp;DATE(YEAR(F22),1,1),$F$2:F22,"&lt;="&amp;DATE(YEAR(F22),12,31))&lt;=15,-0.1,IF(COUNTIFS($E$2:E22,E22,$F$2:F22,"&gt;="&amp;DATE(YEAR(F22),1,1),$F$2:F22,"&lt;="&amp;DATE(YEAR(F22),12,31))&lt;=30,-0.15,IF(COUNTIFS($E$2:E22,E22,$F$2:F22,"&gt;="&amp;DATE(YEAR(F22),1,1),$F$2:F22,"&lt;="&amp;DATE(YEAR(F22),12,31))&lt;=60,-0.2,IF(COUNTIFS($E$2:E22,E22,$F$2:F22,"&gt;="&amp;DATE(YEAR(F22),1,1),$F$2:F22,"&lt;="&amp;DATE(YEAR(F22),12,31))&lt;=120,-0.25,-0.3))))),"")</f>
        <v/>
      </c>
      <c r="S22" t="str">
        <f t="shared" si="4"/>
        <v/>
      </c>
      <c r="T22" t="str">
        <f t="shared" si="5"/>
        <v/>
      </c>
      <c r="U22" t="str">
        <f t="shared" si="6"/>
        <v/>
      </c>
      <c r="V22" t="str">
        <f t="shared" si="7"/>
        <v/>
      </c>
      <c r="W22" t="str">
        <f t="shared" si="8"/>
        <v/>
      </c>
      <c r="X22" t="str">
        <f t="shared" si="9"/>
        <v/>
      </c>
    </row>
    <row r="23" spans="3:24" x14ac:dyDescent="0.35">
      <c r="C23" t="str">
        <f>IF(B23&lt;&gt;"",VLOOKUP(B23,Tableau3[#All],2,0),"")</f>
        <v/>
      </c>
      <c r="D23" t="str">
        <f t="shared" si="0"/>
        <v/>
      </c>
      <c r="K23" t="str">
        <f>IF(E23&lt;&gt;"",VLOOKUP(E23,'Caractéristique navire de pêche'!$B:$E,3,0),"")</f>
        <v/>
      </c>
      <c r="L23" t="s">
        <v>27</v>
      </c>
      <c r="M23" t="str">
        <f>IF(E23&lt;&gt;"",_xlfn.LET(_xlpm.te_reel,VLOOKUP(E23,Tableau13[[#All],[Nom du Navire ]:[Tirant d''eau (m)]],4,0),_xlpm.longueur,VLOOKUP(E23,Tableau13[[#All],[Nom du Navire ]:[Tirant d''eau (m)]],2,0),_xlpm.largeur,VLOOKUP(E23,Tableau13[[#All],[Nom du Navire ]:[Tirant d''eau (m)]],3,0),_xlpm.te_theorique,0.14*SQRT(_xlpm.longueur*_xlpm.largeur),IF(_xlpm.te_reel&gt;=_xlpm.te_theorique,_xlpm.te_reel,ROUND(_xlpm.te_theorique,2))),"")</f>
        <v/>
      </c>
      <c r="N23" t="str">
        <f t="shared" si="1"/>
        <v/>
      </c>
      <c r="O23" t="str">
        <f t="shared" si="2"/>
        <v/>
      </c>
      <c r="P23" t="str">
        <f t="shared" si="3"/>
        <v/>
      </c>
      <c r="Q23" t="str">
        <f t="shared" si="10"/>
        <v/>
      </c>
      <c r="R23" t="str" cm="1">
        <f t="array" ref="R23">IF(E23&lt;&gt;"",IF(COUNTIFS($E$2:E23,E23,$F$2:F23,"&gt;="&amp;DATE(YEAR(F23),1,1),$F$2:F23,"&lt;="&amp;DATE(YEAR(Q:QF23),12,31))&lt;=6,0,IF(COUNTIFS($E$2:E23,E23,$F$2:F23,"&gt;="&amp;DATE(YEAR(F23),1,1),$F$2:F23,"&lt;="&amp;DATE(YEAR(F23),12,31))&lt;=15,-0.1,IF(COUNTIFS($E$2:E23,E23,$F$2:F23,"&gt;="&amp;DATE(YEAR(F23),1,1),$F$2:F23,"&lt;="&amp;DATE(YEAR(F23),12,31))&lt;=30,-0.15,IF(COUNTIFS($E$2:E23,E23,$F$2:F23,"&gt;="&amp;DATE(YEAR(F23),1,1),$F$2:F23,"&lt;="&amp;DATE(YEAR(F23),12,31))&lt;=60,-0.2,IF(COUNTIFS($E$2:E23,E23,$F$2:F23,"&gt;="&amp;DATE(YEAR(F23),1,1),$F$2:F23,"&lt;="&amp;DATE(YEAR(F23),12,31))&lt;=120,-0.25,-0.3))))),"")</f>
        <v/>
      </c>
      <c r="S23" t="str">
        <f t="shared" si="4"/>
        <v/>
      </c>
      <c r="T23" t="str">
        <f t="shared" si="5"/>
        <v/>
      </c>
      <c r="U23" t="str">
        <f t="shared" si="6"/>
        <v/>
      </c>
      <c r="V23" t="str">
        <f t="shared" si="7"/>
        <v/>
      </c>
      <c r="W23" t="str">
        <f t="shared" si="8"/>
        <v/>
      </c>
      <c r="X23" t="str">
        <f t="shared" si="9"/>
        <v/>
      </c>
    </row>
    <row r="24" spans="3:24" x14ac:dyDescent="0.35">
      <c r="C24" t="str">
        <f>IF(B24&lt;&gt;"",VLOOKUP(B24,Tableau3[#All],2,0),"")</f>
        <v/>
      </c>
      <c r="D24" t="str">
        <f t="shared" si="0"/>
        <v/>
      </c>
      <c r="K24" t="str">
        <f>IF(E24&lt;&gt;"",VLOOKUP(E24,'Caractéristique navire de pêche'!$B:$E,3,0),"")</f>
        <v/>
      </c>
      <c r="L24" t="s">
        <v>27</v>
      </c>
      <c r="M24" t="str">
        <f>IF(E24&lt;&gt;"",_xlfn.LET(_xlpm.te_reel,VLOOKUP(E24,Tableau13[[#All],[Nom du Navire ]:[Tirant d''eau (m)]],4,0),_xlpm.longueur,VLOOKUP(E24,Tableau13[[#All],[Nom du Navire ]:[Tirant d''eau (m)]],2,0),_xlpm.largeur,VLOOKUP(E24,Tableau13[[#All],[Nom du Navire ]:[Tirant d''eau (m)]],3,0),_xlpm.te_theorique,0.14*SQRT(_xlpm.longueur*_xlpm.largeur),IF(_xlpm.te_reel&gt;=_xlpm.te_theorique,_xlpm.te_reel,ROUND(_xlpm.te_theorique,2))),"")</f>
        <v/>
      </c>
      <c r="N24" t="str">
        <f t="shared" si="1"/>
        <v/>
      </c>
      <c r="O24" t="str">
        <f t="shared" si="2"/>
        <v/>
      </c>
      <c r="P24" t="str">
        <f t="shared" si="3"/>
        <v/>
      </c>
      <c r="Q24" t="str">
        <f t="shared" si="10"/>
        <v/>
      </c>
      <c r="R24" t="str" cm="1">
        <f t="array" ref="R24">IF(E24&lt;&gt;"",IF(COUNTIFS($E$2:E24,E24,$F$2:F24,"&gt;="&amp;DATE(YEAR(F24),1,1),$F$2:F24,"&lt;="&amp;DATE(YEAR(Q:QF24),12,31))&lt;=6,0,IF(COUNTIFS($E$2:E24,E24,$F$2:F24,"&gt;="&amp;DATE(YEAR(F24),1,1),$F$2:F24,"&lt;="&amp;DATE(YEAR(F24),12,31))&lt;=15,-0.1,IF(COUNTIFS($E$2:E24,E24,$F$2:F24,"&gt;="&amp;DATE(YEAR(F24),1,1),$F$2:F24,"&lt;="&amp;DATE(YEAR(F24),12,31))&lt;=30,-0.15,IF(COUNTIFS($E$2:E24,E24,$F$2:F24,"&gt;="&amp;DATE(YEAR(F24),1,1),$F$2:F24,"&lt;="&amp;DATE(YEAR(F24),12,31))&lt;=60,-0.2,IF(COUNTIFS($E$2:E24,E24,$F$2:F24,"&gt;="&amp;DATE(YEAR(F24),1,1),$F$2:F24,"&lt;="&amp;DATE(YEAR(F24),12,31))&lt;=120,-0.25,-0.3))))),"")</f>
        <v/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t="str">
        <f t="shared" si="8"/>
        <v/>
      </c>
      <c r="X24" t="str">
        <f t="shared" si="9"/>
        <v/>
      </c>
    </row>
    <row r="25" spans="3:24" x14ac:dyDescent="0.35">
      <c r="C25" t="str">
        <f>IF(B25&lt;&gt;"",VLOOKUP(B25,Tableau3[#All],2,0),"")</f>
        <v/>
      </c>
      <c r="D25" t="str">
        <f t="shared" si="0"/>
        <v/>
      </c>
      <c r="K25" t="str">
        <f>IF(E25&lt;&gt;"",VLOOKUP(E25,'Caractéristique navire de pêche'!$B:$E,3,0),"")</f>
        <v/>
      </c>
      <c r="L25" t="s">
        <v>27</v>
      </c>
      <c r="M25" t="str">
        <f>IF(E25&lt;&gt;"",_xlfn.LET(_xlpm.te_reel,VLOOKUP(E25,Tableau13[[#All],[Nom du Navire ]:[Tirant d''eau (m)]],4,0),_xlpm.longueur,VLOOKUP(E25,Tableau13[[#All],[Nom du Navire ]:[Tirant d''eau (m)]],2,0),_xlpm.largeur,VLOOKUP(E25,Tableau13[[#All],[Nom du Navire ]:[Tirant d''eau (m)]],3,0),_xlpm.te_theorique,0.14*SQRT(_xlpm.longueur*_xlpm.largeur),IF(_xlpm.te_reel&gt;=_xlpm.te_theorique,_xlpm.te_reel,ROUND(_xlpm.te_theorique,2))),"")</f>
        <v/>
      </c>
      <c r="N25" t="str">
        <f t="shared" si="1"/>
        <v/>
      </c>
      <c r="O25" t="str">
        <f t="shared" si="2"/>
        <v/>
      </c>
      <c r="P25" t="str">
        <f t="shared" si="3"/>
        <v/>
      </c>
      <c r="Q25" t="str">
        <f t="shared" si="10"/>
        <v/>
      </c>
      <c r="R25" t="str" cm="1">
        <f t="array" ref="R25">IF(E25&lt;&gt;"",IF(COUNTIFS($E$2:E25,E25,$F$2:F25,"&gt;="&amp;DATE(YEAR(F25),1,1),$F$2:F25,"&lt;="&amp;DATE(YEAR(Q:QF25),12,31))&lt;=6,0,IF(COUNTIFS($E$2:E25,E25,$F$2:F25,"&gt;="&amp;DATE(YEAR(F25),1,1),$F$2:F25,"&lt;="&amp;DATE(YEAR(F25),12,31))&lt;=15,-0.1,IF(COUNTIFS($E$2:E25,E25,$F$2:F25,"&gt;="&amp;DATE(YEAR(F25),1,1),$F$2:F25,"&lt;="&amp;DATE(YEAR(F25),12,31))&lt;=30,-0.15,IF(COUNTIFS($E$2:E25,E25,$F$2:F25,"&gt;="&amp;DATE(YEAR(F25),1,1),$F$2:F25,"&lt;="&amp;DATE(YEAR(F25),12,31))&lt;=60,-0.2,IF(COUNTIFS($E$2:E25,E25,$F$2:F25,"&gt;="&amp;DATE(YEAR(F25),1,1),$F$2:F25,"&lt;="&amp;DATE(YEAR(F25),12,31))&lt;=120,-0.25,-0.3))))),"")</f>
        <v/>
      </c>
      <c r="S25" t="str">
        <f t="shared" si="4"/>
        <v/>
      </c>
      <c r="T25" t="str">
        <f t="shared" si="5"/>
        <v/>
      </c>
      <c r="U25" t="str">
        <f t="shared" si="6"/>
        <v/>
      </c>
      <c r="V25" t="str">
        <f t="shared" si="7"/>
        <v/>
      </c>
      <c r="W25" t="str">
        <f t="shared" si="8"/>
        <v/>
      </c>
      <c r="X25" t="str">
        <f t="shared" si="9"/>
        <v/>
      </c>
    </row>
    <row r="26" spans="3:24" x14ac:dyDescent="0.35">
      <c r="C26" t="str">
        <f>IF(B26&lt;&gt;"",VLOOKUP(B26,Tableau3[#All],2,0),"")</f>
        <v/>
      </c>
      <c r="D26" t="str">
        <f t="shared" si="0"/>
        <v/>
      </c>
      <c r="K26" t="str">
        <f>IF(E26&lt;&gt;"",VLOOKUP(E26,'Caractéristique navire de pêche'!$B:$E,3,0),"")</f>
        <v/>
      </c>
      <c r="L26" t="s">
        <v>27</v>
      </c>
      <c r="M26" t="str">
        <f>IF(E26&lt;&gt;"",_xlfn.LET(_xlpm.te_reel,VLOOKUP(E26,Tableau13[[#All],[Nom du Navire ]:[Tirant d''eau (m)]],4,0),_xlpm.longueur,VLOOKUP(E26,Tableau13[[#All],[Nom du Navire ]:[Tirant d''eau (m)]],2,0),_xlpm.largeur,VLOOKUP(E26,Tableau13[[#All],[Nom du Navire ]:[Tirant d''eau (m)]],3,0),_xlpm.te_theorique,0.14*SQRT(_xlpm.longueur*_xlpm.largeur),IF(_xlpm.te_reel&gt;=_xlpm.te_theorique,_xlpm.te_reel,ROUND(_xlpm.te_theorique,2))),"")</f>
        <v/>
      </c>
      <c r="N26" t="str">
        <f t="shared" si="1"/>
        <v/>
      </c>
      <c r="O26" t="str">
        <f t="shared" si="2"/>
        <v/>
      </c>
      <c r="P26" t="str">
        <f t="shared" si="3"/>
        <v/>
      </c>
      <c r="Q26" t="str">
        <f t="shared" si="10"/>
        <v/>
      </c>
      <c r="R26" t="str" cm="1">
        <f t="array" ref="R26">IF(E26&lt;&gt;"",IF(COUNTIFS($E$2:E26,E26,$F$2:F26,"&gt;="&amp;DATE(YEAR(F26),1,1),$F$2:F26,"&lt;="&amp;DATE(YEAR(Q:QF26),12,31))&lt;=6,0,IF(COUNTIFS($E$2:E26,E26,$F$2:F26,"&gt;="&amp;DATE(YEAR(F26),1,1),$F$2:F26,"&lt;="&amp;DATE(YEAR(F26),12,31))&lt;=15,-0.1,IF(COUNTIFS($E$2:E26,E26,$F$2:F26,"&gt;="&amp;DATE(YEAR(F26),1,1),$F$2:F26,"&lt;="&amp;DATE(YEAR(F26),12,31))&lt;=30,-0.15,IF(COUNTIFS($E$2:E26,E26,$F$2:F26,"&gt;="&amp;DATE(YEAR(F26),1,1),$F$2:F26,"&lt;="&amp;DATE(YEAR(F26),12,31))&lt;=60,-0.2,IF(COUNTIFS($E$2:E26,E26,$F$2:F26,"&gt;="&amp;DATE(YEAR(F26),1,1),$F$2:F26,"&lt;="&amp;DATE(YEAR(F26),12,31))&lt;=120,-0.25,-0.3))))),"")</f>
        <v/>
      </c>
      <c r="S26" t="str">
        <f t="shared" si="4"/>
        <v/>
      </c>
      <c r="T26" t="str">
        <f t="shared" si="5"/>
        <v/>
      </c>
      <c r="U26" t="str">
        <f t="shared" si="6"/>
        <v/>
      </c>
      <c r="V26" t="str">
        <f t="shared" si="7"/>
        <v/>
      </c>
      <c r="W26" t="str">
        <f t="shared" si="8"/>
        <v/>
      </c>
      <c r="X26" t="str">
        <f t="shared" si="9"/>
        <v/>
      </c>
    </row>
    <row r="27" spans="3:24" x14ac:dyDescent="0.35">
      <c r="C27" t="str">
        <f>IF(B27&lt;&gt;"",VLOOKUP(B27,Tableau3[#All],2,0),"")</f>
        <v/>
      </c>
      <c r="D27" t="str">
        <f t="shared" si="0"/>
        <v/>
      </c>
      <c r="K27" t="str">
        <f>IF(E27&lt;&gt;"",VLOOKUP(E27,'Caractéristique navire de pêche'!$B:$E,3,0),"")</f>
        <v/>
      </c>
      <c r="L27" t="s">
        <v>27</v>
      </c>
      <c r="M27" t="str">
        <f>IF(E27&lt;&gt;"",_xlfn.LET(_xlpm.te_reel,VLOOKUP(E27,Tableau13[[#All],[Nom du Navire ]:[Tirant d''eau (m)]],4,0),_xlpm.longueur,VLOOKUP(E27,Tableau13[[#All],[Nom du Navire ]:[Tirant d''eau (m)]],2,0),_xlpm.largeur,VLOOKUP(E27,Tableau13[[#All],[Nom du Navire ]:[Tirant d''eau (m)]],3,0),_xlpm.te_theorique,0.14*SQRT(_xlpm.longueur*_xlpm.largeur),IF(_xlpm.te_reel&gt;=_xlpm.te_theorique,_xlpm.te_reel,ROUND(_xlpm.te_theorique,2))),"")</f>
        <v/>
      </c>
      <c r="N27" t="str">
        <f t="shared" si="1"/>
        <v/>
      </c>
      <c r="O27" t="str">
        <f t="shared" si="2"/>
        <v/>
      </c>
      <c r="P27" t="str">
        <f t="shared" si="3"/>
        <v/>
      </c>
      <c r="Q27" t="str">
        <f t="shared" si="10"/>
        <v/>
      </c>
      <c r="R27" t="str" cm="1">
        <f t="array" ref="R27">IF(E27&lt;&gt;"",IF(COUNTIFS($E$2:E27,E27,$F$2:F27,"&gt;="&amp;DATE(YEAR(F27),1,1),$F$2:F27,"&lt;="&amp;DATE(YEAR(Q:QF27),12,31))&lt;=6,0,IF(COUNTIFS($E$2:E27,E27,$F$2:F27,"&gt;="&amp;DATE(YEAR(F27),1,1),$F$2:F27,"&lt;="&amp;DATE(YEAR(F27),12,31))&lt;=15,-0.1,IF(COUNTIFS($E$2:E27,E27,$F$2:F27,"&gt;="&amp;DATE(YEAR(F27),1,1),$F$2:F27,"&lt;="&amp;DATE(YEAR(F27),12,31))&lt;=30,-0.15,IF(COUNTIFS($E$2:E27,E27,$F$2:F27,"&gt;="&amp;DATE(YEAR(F27),1,1),$F$2:F27,"&lt;="&amp;DATE(YEAR(F27),12,31))&lt;=60,-0.2,IF(COUNTIFS($E$2:E27,E27,$F$2:F27,"&gt;="&amp;DATE(YEAR(F27),1,1),$F$2:F27,"&lt;="&amp;DATE(YEAR(F27),12,31))&lt;=120,-0.25,-0.3))))),"")</f>
        <v/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t="str">
        <f t="shared" si="8"/>
        <v/>
      </c>
      <c r="X27" t="str">
        <f t="shared" si="9"/>
        <v/>
      </c>
    </row>
    <row r="28" spans="3:24" x14ac:dyDescent="0.35">
      <c r="C28" t="str">
        <f>IF(B28&lt;&gt;"",VLOOKUP(B28,Tableau3[#All],2,0),"")</f>
        <v/>
      </c>
      <c r="D28" t="str">
        <f t="shared" si="0"/>
        <v/>
      </c>
      <c r="K28" t="str">
        <f>IF(E28&lt;&gt;"",VLOOKUP(E28,'Caractéristique navire de pêche'!$B:$E,3,0),"")</f>
        <v/>
      </c>
      <c r="L28" t="s">
        <v>27</v>
      </c>
      <c r="M28" t="str">
        <f>IF(E28&lt;&gt;"",_xlfn.LET(_xlpm.te_reel,VLOOKUP(E28,Tableau13[[#All],[Nom du Navire ]:[Tirant d''eau (m)]],4,0),_xlpm.longueur,VLOOKUP(E28,Tableau13[[#All],[Nom du Navire ]:[Tirant d''eau (m)]],2,0),_xlpm.largeur,VLOOKUP(E28,Tableau13[[#All],[Nom du Navire ]:[Tirant d''eau (m)]],3,0),_xlpm.te_theorique,0.14*SQRT(_xlpm.longueur*_xlpm.largeur),IF(_xlpm.te_reel&gt;=_xlpm.te_theorique,_xlpm.te_reel,ROUND(_xlpm.te_theorique,2))),"")</f>
        <v/>
      </c>
      <c r="N28" t="str">
        <f t="shared" si="1"/>
        <v/>
      </c>
      <c r="O28" t="str">
        <f t="shared" si="2"/>
        <v/>
      </c>
      <c r="P28" t="str">
        <f t="shared" si="3"/>
        <v/>
      </c>
      <c r="Q28" t="str">
        <f t="shared" si="10"/>
        <v/>
      </c>
      <c r="R28" t="str" cm="1">
        <f t="array" ref="R28">IF(E28&lt;&gt;"",IF(COUNTIFS($E$2:E28,E28,$F$2:F28,"&gt;="&amp;DATE(YEAR(F28),1,1),$F$2:F28,"&lt;="&amp;DATE(YEAR(Q:QF28),12,31))&lt;=6,0,IF(COUNTIFS($E$2:E28,E28,$F$2:F28,"&gt;="&amp;DATE(YEAR(F28),1,1),$F$2:F28,"&lt;="&amp;DATE(YEAR(F28),12,31))&lt;=15,-0.1,IF(COUNTIFS($E$2:E28,E28,$F$2:F28,"&gt;="&amp;DATE(YEAR(F28),1,1),$F$2:F28,"&lt;="&amp;DATE(YEAR(F28),12,31))&lt;=30,-0.15,IF(COUNTIFS($E$2:E28,E28,$F$2:F28,"&gt;="&amp;DATE(YEAR(F28),1,1),$F$2:F28,"&lt;="&amp;DATE(YEAR(F28),12,31))&lt;=60,-0.2,IF(COUNTIFS($E$2:E28,E28,$F$2:F28,"&gt;="&amp;DATE(YEAR(F28),1,1),$F$2:F28,"&lt;="&amp;DATE(YEAR(F28),12,31))&lt;=120,-0.25,-0.3))))),"")</f>
        <v/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t="str">
        <f t="shared" si="8"/>
        <v/>
      </c>
      <c r="X28" t="str">
        <f t="shared" si="9"/>
        <v/>
      </c>
    </row>
    <row r="29" spans="3:24" x14ac:dyDescent="0.35">
      <c r="C29" t="str">
        <f>IF(B29&lt;&gt;"",VLOOKUP(B29,Tableau3[#All],2,0),"")</f>
        <v/>
      </c>
      <c r="D29" t="str">
        <f t="shared" si="0"/>
        <v/>
      </c>
      <c r="K29" t="str">
        <f>IF(E29&lt;&gt;"",VLOOKUP(E29,'Caractéristique navire de pêche'!$B:$E,3,0),"")</f>
        <v/>
      </c>
      <c r="L29" t="s">
        <v>27</v>
      </c>
      <c r="M29" t="str">
        <f>IF(E29&lt;&gt;"",_xlfn.LET(_xlpm.te_reel,VLOOKUP(E29,Tableau13[[#All],[Nom du Navire ]:[Tirant d''eau (m)]],4,0),_xlpm.longueur,VLOOKUP(E29,Tableau13[[#All],[Nom du Navire ]:[Tirant d''eau (m)]],2,0),_xlpm.largeur,VLOOKUP(E29,Tableau13[[#All],[Nom du Navire ]:[Tirant d''eau (m)]],3,0),_xlpm.te_theorique,0.14*SQRT(_xlpm.longueur*_xlpm.largeur),IF(_xlpm.te_reel&gt;=_xlpm.te_theorique,_xlpm.te_reel,ROUND(_xlpm.te_theorique,2))),"")</f>
        <v/>
      </c>
      <c r="N29" t="str">
        <f t="shared" si="1"/>
        <v/>
      </c>
      <c r="O29" t="str">
        <f t="shared" si="2"/>
        <v/>
      </c>
      <c r="P29" t="str">
        <f t="shared" si="3"/>
        <v/>
      </c>
      <c r="Q29" t="str">
        <f t="shared" si="10"/>
        <v/>
      </c>
      <c r="R29" t="str" cm="1">
        <f t="array" ref="R29">IF(E29&lt;&gt;"",IF(COUNTIFS($E$2:E29,E29,$F$2:F29,"&gt;="&amp;DATE(YEAR(F29),1,1),$F$2:F29,"&lt;="&amp;DATE(YEAR(Q:QF29),12,31))&lt;=6,0,IF(COUNTIFS($E$2:E29,E29,$F$2:F29,"&gt;="&amp;DATE(YEAR(F29),1,1),$F$2:F29,"&lt;="&amp;DATE(YEAR(F29),12,31))&lt;=15,-0.1,IF(COUNTIFS($E$2:E29,E29,$F$2:F29,"&gt;="&amp;DATE(YEAR(F29),1,1),$F$2:F29,"&lt;="&amp;DATE(YEAR(F29),12,31))&lt;=30,-0.15,IF(COUNTIFS($E$2:E29,E29,$F$2:F29,"&gt;="&amp;DATE(YEAR(F29),1,1),$F$2:F29,"&lt;="&amp;DATE(YEAR(F29),12,31))&lt;=60,-0.2,IF(COUNTIFS($E$2:E29,E29,$F$2:F29,"&gt;="&amp;DATE(YEAR(F29),1,1),$F$2:F29,"&lt;="&amp;DATE(YEAR(F29),12,31))&lt;=120,-0.25,-0.3))))),"")</f>
        <v/>
      </c>
      <c r="S29" t="str">
        <f t="shared" si="4"/>
        <v/>
      </c>
      <c r="T29" t="str">
        <f t="shared" si="5"/>
        <v/>
      </c>
      <c r="U29" t="str">
        <f t="shared" si="6"/>
        <v/>
      </c>
      <c r="V29" t="str">
        <f t="shared" si="7"/>
        <v/>
      </c>
      <c r="W29" t="str">
        <f t="shared" si="8"/>
        <v/>
      </c>
      <c r="X29" t="str">
        <f t="shared" si="9"/>
        <v/>
      </c>
    </row>
    <row r="30" spans="3:24" x14ac:dyDescent="0.35">
      <c r="C30" t="str">
        <f>IF(B30&lt;&gt;"",VLOOKUP(B30,Tableau3[#All],2,0),"")</f>
        <v/>
      </c>
      <c r="D30" t="str">
        <f t="shared" si="0"/>
        <v/>
      </c>
      <c r="K30" t="str">
        <f>IF(E30&lt;&gt;"",VLOOKUP(E30,'Caractéristique navire de pêche'!$B:$E,3,0),"")</f>
        <v/>
      </c>
      <c r="L30" t="s">
        <v>27</v>
      </c>
      <c r="M30" t="str">
        <f>IF(E30&lt;&gt;"",_xlfn.LET(_xlpm.te_reel,VLOOKUP(E30,Tableau13[[#All],[Nom du Navire ]:[Tirant d''eau (m)]],4,0),_xlpm.longueur,VLOOKUP(E30,Tableau13[[#All],[Nom du Navire ]:[Tirant d''eau (m)]],2,0),_xlpm.largeur,VLOOKUP(E30,Tableau13[[#All],[Nom du Navire ]:[Tirant d''eau (m)]],3,0),_xlpm.te_theorique,0.14*SQRT(_xlpm.longueur*_xlpm.largeur),IF(_xlpm.te_reel&gt;=_xlpm.te_theorique,_xlpm.te_reel,ROUND(_xlpm.te_theorique,2))),"")</f>
        <v/>
      </c>
      <c r="N30" t="str">
        <f t="shared" si="1"/>
        <v/>
      </c>
      <c r="O30" t="str">
        <f t="shared" si="2"/>
        <v/>
      </c>
      <c r="P30" t="str">
        <f t="shared" si="3"/>
        <v/>
      </c>
      <c r="Q30" t="str">
        <f t="shared" si="10"/>
        <v/>
      </c>
      <c r="R30" t="str" cm="1">
        <f t="array" ref="R30">IF(E30&lt;&gt;"",IF(COUNTIFS($E$2:E30,E30,$F$2:F30,"&gt;="&amp;DATE(YEAR(F30),1,1),$F$2:F30,"&lt;="&amp;DATE(YEAR(Q:QF30),12,31))&lt;=6,0,IF(COUNTIFS($E$2:E30,E30,$F$2:F30,"&gt;="&amp;DATE(YEAR(F30),1,1),$F$2:F30,"&lt;="&amp;DATE(YEAR(F30),12,31))&lt;=15,-0.1,IF(COUNTIFS($E$2:E30,E30,$F$2:F30,"&gt;="&amp;DATE(YEAR(F30),1,1),$F$2:F30,"&lt;="&amp;DATE(YEAR(F30),12,31))&lt;=30,-0.15,IF(COUNTIFS($E$2:E30,E30,$F$2:F30,"&gt;="&amp;DATE(YEAR(F30),1,1),$F$2:F30,"&lt;="&amp;DATE(YEAR(F30),12,31))&lt;=60,-0.2,IF(COUNTIFS($E$2:E30,E30,$F$2:F30,"&gt;="&amp;DATE(YEAR(F30),1,1),$F$2:F30,"&lt;="&amp;DATE(YEAR(F30),12,31))&lt;=120,-0.25,-0.3))))),"")</f>
        <v/>
      </c>
      <c r="S30" t="str">
        <f t="shared" si="4"/>
        <v/>
      </c>
      <c r="T30" t="str">
        <f t="shared" si="5"/>
        <v/>
      </c>
      <c r="U30" t="str">
        <f t="shared" si="6"/>
        <v/>
      </c>
      <c r="V30" t="str">
        <f t="shared" si="7"/>
        <v/>
      </c>
      <c r="W30" t="str">
        <f t="shared" si="8"/>
        <v/>
      </c>
      <c r="X30" t="str">
        <f t="shared" si="9"/>
        <v/>
      </c>
    </row>
    <row r="31" spans="3:24" x14ac:dyDescent="0.35">
      <c r="C31" t="str">
        <f>IF(B31&lt;&gt;"",VLOOKUP(B31,Tableau3[#All],2,0),"")</f>
        <v/>
      </c>
      <c r="D31" t="str">
        <f t="shared" si="0"/>
        <v/>
      </c>
      <c r="K31" t="str">
        <f>IF(E31&lt;&gt;"",VLOOKUP(E31,'Caractéristique navire de pêche'!$B:$E,3,0),"")</f>
        <v/>
      </c>
      <c r="L31" t="s">
        <v>27</v>
      </c>
      <c r="M31" t="str">
        <f>IF(E31&lt;&gt;"",_xlfn.LET(_xlpm.te_reel,VLOOKUP(E31,Tableau13[[#All],[Nom du Navire ]:[Tirant d''eau (m)]],4,0),_xlpm.longueur,VLOOKUP(E31,Tableau13[[#All],[Nom du Navire ]:[Tirant d''eau (m)]],2,0),_xlpm.largeur,VLOOKUP(E31,Tableau13[[#All],[Nom du Navire ]:[Tirant d''eau (m)]],3,0),_xlpm.te_theorique,0.14*SQRT(_xlpm.longueur*_xlpm.largeur),IF(_xlpm.te_reel&gt;=_xlpm.te_theorique,_xlpm.te_reel,ROUND(_xlpm.te_theorique,2))),"")</f>
        <v/>
      </c>
      <c r="N31" t="str">
        <f t="shared" si="1"/>
        <v/>
      </c>
      <c r="O31" t="str">
        <f t="shared" si="2"/>
        <v/>
      </c>
      <c r="P31" t="str">
        <f t="shared" si="3"/>
        <v/>
      </c>
      <c r="Q31" t="str">
        <f t="shared" si="10"/>
        <v/>
      </c>
      <c r="R31" t="str" cm="1">
        <f t="array" ref="R31">IF(E31&lt;&gt;"",IF(COUNTIFS($E$2:E31,E31,$F$2:F31,"&gt;="&amp;DATE(YEAR(F31),1,1),$F$2:F31,"&lt;="&amp;DATE(YEAR(Q:QF31),12,31))&lt;=6,0,IF(COUNTIFS($E$2:E31,E31,$F$2:F31,"&gt;="&amp;DATE(YEAR(F31),1,1),$F$2:F31,"&lt;="&amp;DATE(YEAR(F31),12,31))&lt;=15,-0.1,IF(COUNTIFS($E$2:E31,E31,$F$2:F31,"&gt;="&amp;DATE(YEAR(F31),1,1),$F$2:F31,"&lt;="&amp;DATE(YEAR(F31),12,31))&lt;=30,-0.15,IF(COUNTIFS($E$2:E31,E31,$F$2:F31,"&gt;="&amp;DATE(YEAR(F31),1,1),$F$2:F31,"&lt;="&amp;DATE(YEAR(F31),12,31))&lt;=60,-0.2,IF(COUNTIFS($E$2:E31,E31,$F$2:F31,"&gt;="&amp;DATE(YEAR(F31),1,1),$F$2:F31,"&lt;="&amp;DATE(YEAR(F31),12,31))&lt;=120,-0.25,-0.3))))),"")</f>
        <v/>
      </c>
      <c r="S31" t="str">
        <f t="shared" si="4"/>
        <v/>
      </c>
      <c r="T31" t="str">
        <f t="shared" si="5"/>
        <v/>
      </c>
      <c r="U31" t="str">
        <f t="shared" si="6"/>
        <v/>
      </c>
      <c r="V31" t="str">
        <f t="shared" si="7"/>
        <v/>
      </c>
      <c r="W31" t="str">
        <f t="shared" si="8"/>
        <v/>
      </c>
      <c r="X31" t="str">
        <f t="shared" si="9"/>
        <v/>
      </c>
    </row>
    <row r="32" spans="3:24" x14ac:dyDescent="0.35">
      <c r="C32" t="str">
        <f>IF(B32&lt;&gt;"",VLOOKUP(B32,Tableau3[#All],2,0),"")</f>
        <v/>
      </c>
      <c r="D32" t="str">
        <f t="shared" si="0"/>
        <v/>
      </c>
      <c r="K32" t="str">
        <f>IF(E32&lt;&gt;"",VLOOKUP(E32,'Caractéristique navire de pêche'!$B:$E,3,0),"")</f>
        <v/>
      </c>
      <c r="L32" t="s">
        <v>27</v>
      </c>
      <c r="M32" t="str">
        <f>IF(E32&lt;&gt;"",_xlfn.LET(_xlpm.te_reel,VLOOKUP(E32,Tableau13[[#All],[Nom du Navire ]:[Tirant d''eau (m)]],4,0),_xlpm.longueur,VLOOKUP(E32,Tableau13[[#All],[Nom du Navire ]:[Tirant d''eau (m)]],2,0),_xlpm.largeur,VLOOKUP(E32,Tableau13[[#All],[Nom du Navire ]:[Tirant d''eau (m)]],3,0),_xlpm.te_theorique,0.14*SQRT(_xlpm.longueur*_xlpm.largeur),IF(_xlpm.te_reel&gt;=_xlpm.te_theorique,_xlpm.te_reel,ROUND(_xlpm.te_theorique,2))),"")</f>
        <v/>
      </c>
      <c r="N32" t="str">
        <f t="shared" si="1"/>
        <v/>
      </c>
      <c r="O32" t="str">
        <f t="shared" si="2"/>
        <v/>
      </c>
      <c r="P32" t="str">
        <f t="shared" si="3"/>
        <v/>
      </c>
      <c r="Q32" t="str">
        <f t="shared" si="10"/>
        <v/>
      </c>
      <c r="R32" t="str" cm="1">
        <f t="array" ref="R32">IF(E32&lt;&gt;"",IF(COUNTIFS($E$2:E32,E32,$F$2:F32,"&gt;="&amp;DATE(YEAR(F32),1,1),$F$2:F32,"&lt;="&amp;DATE(YEAR(Q:QF32),12,31))&lt;=6,0,IF(COUNTIFS($E$2:E32,E32,$F$2:F32,"&gt;="&amp;DATE(YEAR(F32),1,1),$F$2:F32,"&lt;="&amp;DATE(YEAR(F32),12,31))&lt;=15,-0.1,IF(COUNTIFS($E$2:E32,E32,$F$2:F32,"&gt;="&amp;DATE(YEAR(F32),1,1),$F$2:F32,"&lt;="&amp;DATE(YEAR(F32),12,31))&lt;=30,-0.15,IF(COUNTIFS($E$2:E32,E32,$F$2:F32,"&gt;="&amp;DATE(YEAR(F32),1,1),$F$2:F32,"&lt;="&amp;DATE(YEAR(F32),12,31))&lt;=60,-0.2,IF(COUNTIFS($E$2:E32,E32,$F$2:F32,"&gt;="&amp;DATE(YEAR(F32),1,1),$F$2:F32,"&lt;="&amp;DATE(YEAR(F32),12,31))&lt;=120,-0.25,-0.3))))),"")</f>
        <v/>
      </c>
      <c r="S32" t="str">
        <f t="shared" si="4"/>
        <v/>
      </c>
      <c r="T32" t="str">
        <f t="shared" si="5"/>
        <v/>
      </c>
      <c r="U32" t="str">
        <f t="shared" si="6"/>
        <v/>
      </c>
      <c r="V32" t="str">
        <f t="shared" si="7"/>
        <v/>
      </c>
      <c r="W32" t="str">
        <f t="shared" si="8"/>
        <v/>
      </c>
      <c r="X32" t="str">
        <f t="shared" si="9"/>
        <v/>
      </c>
    </row>
    <row r="33" spans="3:24" x14ac:dyDescent="0.35">
      <c r="C33" t="str">
        <f>IF(B33&lt;&gt;"",VLOOKUP(B33,Tableau3[#All],2,0),"")</f>
        <v/>
      </c>
      <c r="D33" t="str">
        <f t="shared" si="0"/>
        <v/>
      </c>
      <c r="K33" t="str">
        <f>IF(E33&lt;&gt;"",VLOOKUP(E33,'Caractéristique navire de pêche'!$B:$E,3,0),"")</f>
        <v/>
      </c>
      <c r="L33" t="s">
        <v>27</v>
      </c>
      <c r="M33" t="str">
        <f>IF(E33&lt;&gt;"",_xlfn.LET(_xlpm.te_reel,VLOOKUP(E33,Tableau13[[#All],[Nom du Navire ]:[Tirant d''eau (m)]],4,0),_xlpm.longueur,VLOOKUP(E33,Tableau13[[#All],[Nom du Navire ]:[Tirant d''eau (m)]],2,0),_xlpm.largeur,VLOOKUP(E33,Tableau13[[#All],[Nom du Navire ]:[Tirant d''eau (m)]],3,0),_xlpm.te_theorique,0.14*SQRT(_xlpm.longueur*_xlpm.largeur),IF(_xlpm.te_reel&gt;=_xlpm.te_theorique,_xlpm.te_reel,ROUND(_xlpm.te_theorique,2))),"")</f>
        <v/>
      </c>
      <c r="N33" t="str">
        <f t="shared" si="1"/>
        <v/>
      </c>
      <c r="O33" t="str">
        <f t="shared" si="2"/>
        <v/>
      </c>
      <c r="P33" t="str">
        <f t="shared" si="3"/>
        <v/>
      </c>
      <c r="Q33" t="str">
        <f t="shared" si="10"/>
        <v/>
      </c>
      <c r="R33" t="str" cm="1">
        <f t="array" ref="R33">IF(E33&lt;&gt;"",IF(COUNTIFS($E$2:E33,E33,$F$2:F33,"&gt;="&amp;DATE(YEAR(F33),1,1),$F$2:F33,"&lt;="&amp;DATE(YEAR(Q:QF33),12,31))&lt;=6,0,IF(COUNTIFS($E$2:E33,E33,$F$2:F33,"&gt;="&amp;DATE(YEAR(F33),1,1),$F$2:F33,"&lt;="&amp;DATE(YEAR(F33),12,31))&lt;=15,-0.1,IF(COUNTIFS($E$2:E33,E33,$F$2:F33,"&gt;="&amp;DATE(YEAR(F33),1,1),$F$2:F33,"&lt;="&amp;DATE(YEAR(F33),12,31))&lt;=30,-0.15,IF(COUNTIFS($E$2:E33,E33,$F$2:F33,"&gt;="&amp;DATE(YEAR(F33),1,1),$F$2:F33,"&lt;="&amp;DATE(YEAR(F33),12,31))&lt;=60,-0.2,IF(COUNTIFS($E$2:E33,E33,$F$2:F33,"&gt;="&amp;DATE(YEAR(F33),1,1),$F$2:F33,"&lt;="&amp;DATE(YEAR(F33),12,31))&lt;=120,-0.25,-0.3))))),"")</f>
        <v/>
      </c>
      <c r="S33" t="str">
        <f t="shared" si="4"/>
        <v/>
      </c>
      <c r="T33" t="str">
        <f t="shared" si="5"/>
        <v/>
      </c>
      <c r="U33" t="str">
        <f t="shared" si="6"/>
        <v/>
      </c>
      <c r="V33" t="str">
        <f t="shared" si="7"/>
        <v/>
      </c>
      <c r="W33" t="str">
        <f t="shared" si="8"/>
        <v/>
      </c>
      <c r="X33" t="str">
        <f t="shared" si="9"/>
        <v/>
      </c>
    </row>
    <row r="34" spans="3:24" x14ac:dyDescent="0.35">
      <c r="C34" t="str">
        <f>IF(B34&lt;&gt;"",VLOOKUP(B34,Tableau3[#All],2,0),"")</f>
        <v/>
      </c>
      <c r="D34" t="str">
        <f t="shared" si="0"/>
        <v/>
      </c>
      <c r="K34" t="str">
        <f>IF(E34&lt;&gt;"",VLOOKUP(E34,'Caractéristique navire de pêche'!$B:$E,3,0),"")</f>
        <v/>
      </c>
      <c r="L34" t="s">
        <v>27</v>
      </c>
      <c r="M34" t="str">
        <f>IF(E34&lt;&gt;"",_xlfn.LET(_xlpm.te_reel,VLOOKUP(E34,Tableau13[[#All],[Nom du Navire ]:[Tirant d''eau (m)]],4,0),_xlpm.longueur,VLOOKUP(E34,Tableau13[[#All],[Nom du Navire ]:[Tirant d''eau (m)]],2,0),_xlpm.largeur,VLOOKUP(E34,Tableau13[[#All],[Nom du Navire ]:[Tirant d''eau (m)]],3,0),_xlpm.te_theorique,0.14*SQRT(_xlpm.longueur*_xlpm.largeur),IF(_xlpm.te_reel&gt;=_xlpm.te_theorique,_xlpm.te_reel,ROUND(_xlpm.te_theorique,2))),"")</f>
        <v/>
      </c>
      <c r="N34" t="str">
        <f t="shared" si="1"/>
        <v/>
      </c>
      <c r="O34" t="str">
        <f t="shared" si="2"/>
        <v/>
      </c>
      <c r="P34" t="str">
        <f t="shared" si="3"/>
        <v/>
      </c>
      <c r="Q34" t="str">
        <f t="shared" si="10"/>
        <v/>
      </c>
      <c r="R34" t="str" cm="1">
        <f t="array" ref="R34">IF(E34&lt;&gt;"",IF(COUNTIFS($E$2:E34,E34,$F$2:F34,"&gt;="&amp;DATE(YEAR(F34),1,1),$F$2:F34,"&lt;="&amp;DATE(YEAR(Q:QF34),12,31))&lt;=6,0,IF(COUNTIFS($E$2:E34,E34,$F$2:F34,"&gt;="&amp;DATE(YEAR(F34),1,1),$F$2:F34,"&lt;="&amp;DATE(YEAR(F34),12,31))&lt;=15,-0.1,IF(COUNTIFS($E$2:E34,E34,$F$2:F34,"&gt;="&amp;DATE(YEAR(F34),1,1),$F$2:F34,"&lt;="&amp;DATE(YEAR(F34),12,31))&lt;=30,-0.15,IF(COUNTIFS($E$2:E34,E34,$F$2:F34,"&gt;="&amp;DATE(YEAR(F34),1,1),$F$2:F34,"&lt;="&amp;DATE(YEAR(F34),12,31))&lt;=60,-0.2,IF(COUNTIFS($E$2:E34,E34,$F$2:F34,"&gt;="&amp;DATE(YEAR(F34),1,1),$F$2:F34,"&lt;="&amp;DATE(YEAR(F34),12,31))&lt;=120,-0.25,-0.3))))),"")</f>
        <v/>
      </c>
      <c r="S34" t="str">
        <f t="shared" si="4"/>
        <v/>
      </c>
      <c r="T34" t="str">
        <f t="shared" si="5"/>
        <v/>
      </c>
      <c r="U34" t="str">
        <f t="shared" si="6"/>
        <v/>
      </c>
      <c r="V34" t="str">
        <f t="shared" si="7"/>
        <v/>
      </c>
      <c r="W34" t="str">
        <f t="shared" si="8"/>
        <v/>
      </c>
      <c r="X34" t="str">
        <f t="shared" si="9"/>
        <v/>
      </c>
    </row>
    <row r="35" spans="3:24" x14ac:dyDescent="0.35">
      <c r="C35" t="str">
        <f>IF(B35&lt;&gt;"",VLOOKUP(B35,Tableau3[#All],2,0),"")</f>
        <v/>
      </c>
      <c r="D35" t="str">
        <f t="shared" si="0"/>
        <v/>
      </c>
      <c r="K35" t="str">
        <f>IF(E35&lt;&gt;"",VLOOKUP(E35,'Caractéristique navire de pêche'!$B:$E,3,0),"")</f>
        <v/>
      </c>
      <c r="L35" t="s">
        <v>27</v>
      </c>
      <c r="M35" t="str">
        <f>IF(E35&lt;&gt;"",_xlfn.LET(_xlpm.te_reel,VLOOKUP(E35,Tableau13[[#All],[Nom du Navire ]:[Tirant d''eau (m)]],4,0),_xlpm.longueur,VLOOKUP(E35,Tableau13[[#All],[Nom du Navire ]:[Tirant d''eau (m)]],2,0),_xlpm.largeur,VLOOKUP(E35,Tableau13[[#All],[Nom du Navire ]:[Tirant d''eau (m)]],3,0),_xlpm.te_theorique,0.14*SQRT(_xlpm.longueur*_xlpm.largeur),IF(_xlpm.te_reel&gt;=_xlpm.te_theorique,_xlpm.te_reel,ROUND(_xlpm.te_theorique,2))),"")</f>
        <v/>
      </c>
      <c r="N35" t="str">
        <f t="shared" si="1"/>
        <v/>
      </c>
      <c r="O35" t="str">
        <f t="shared" si="2"/>
        <v/>
      </c>
      <c r="P35" t="str">
        <f t="shared" si="3"/>
        <v/>
      </c>
      <c r="Q35" t="str">
        <f t="shared" si="10"/>
        <v/>
      </c>
      <c r="R35" t="str" cm="1">
        <f t="array" ref="R35">IF(E35&lt;&gt;"",IF(COUNTIFS($E$2:E35,E35,$F$2:F35,"&gt;="&amp;DATE(YEAR(F35),1,1),$F$2:F35,"&lt;="&amp;DATE(YEAR(Q:QF35),12,31))&lt;=6,0,IF(COUNTIFS($E$2:E35,E35,$F$2:F35,"&gt;="&amp;DATE(YEAR(F35),1,1),$F$2:F35,"&lt;="&amp;DATE(YEAR(F35),12,31))&lt;=15,-0.1,IF(COUNTIFS($E$2:E35,E35,$F$2:F35,"&gt;="&amp;DATE(YEAR(F35),1,1),$F$2:F35,"&lt;="&amp;DATE(YEAR(F35),12,31))&lt;=30,-0.15,IF(COUNTIFS($E$2:E35,E35,$F$2:F35,"&gt;="&amp;DATE(YEAR(F35),1,1),$F$2:F35,"&lt;="&amp;DATE(YEAR(F35),12,31))&lt;=60,-0.2,IF(COUNTIFS($E$2:E35,E35,$F$2:F35,"&gt;="&amp;DATE(YEAR(F35),1,1),$F$2:F35,"&lt;="&amp;DATE(YEAR(F35),12,31))&lt;=120,-0.25,-0.3))))),"")</f>
        <v/>
      </c>
      <c r="S35" t="str">
        <f t="shared" si="4"/>
        <v/>
      </c>
      <c r="T35" t="str">
        <f t="shared" si="5"/>
        <v/>
      </c>
      <c r="U35" t="str">
        <f t="shared" si="6"/>
        <v/>
      </c>
      <c r="V35" t="str">
        <f t="shared" si="7"/>
        <v/>
      </c>
      <c r="W35" t="str">
        <f t="shared" si="8"/>
        <v/>
      </c>
      <c r="X35" t="str">
        <f t="shared" si="9"/>
        <v/>
      </c>
    </row>
    <row r="36" spans="3:24" x14ac:dyDescent="0.35">
      <c r="C36" t="str">
        <f>IF(B36&lt;&gt;"",VLOOKUP(B36,Tableau3[#All],2,0),"")</f>
        <v/>
      </c>
      <c r="D36" t="str">
        <f t="shared" si="0"/>
        <v/>
      </c>
      <c r="K36" t="str">
        <f>IF(E36&lt;&gt;"",VLOOKUP(E36,'Caractéristique navire de pêche'!$B:$E,3,0),"")</f>
        <v/>
      </c>
      <c r="L36" t="s">
        <v>27</v>
      </c>
      <c r="M36" t="str">
        <f>IF(E36&lt;&gt;"",_xlfn.LET(_xlpm.te_reel,VLOOKUP(E36,Tableau13[[#All],[Nom du Navire ]:[Tirant d''eau (m)]],4,0),_xlpm.longueur,VLOOKUP(E36,Tableau13[[#All],[Nom du Navire ]:[Tirant d''eau (m)]],2,0),_xlpm.largeur,VLOOKUP(E36,Tableau13[[#All],[Nom du Navire ]:[Tirant d''eau (m)]],3,0),_xlpm.te_theorique,0.14*SQRT(_xlpm.longueur*_xlpm.largeur),IF(_xlpm.te_reel&gt;=_xlpm.te_theorique,_xlpm.te_reel,ROUND(_xlpm.te_theorique,2))),"")</f>
        <v/>
      </c>
      <c r="N36" t="str">
        <f t="shared" si="1"/>
        <v/>
      </c>
      <c r="O36" t="str">
        <f t="shared" si="2"/>
        <v/>
      </c>
      <c r="P36" t="str">
        <f t="shared" si="3"/>
        <v/>
      </c>
      <c r="Q36" t="str">
        <f t="shared" si="10"/>
        <v/>
      </c>
      <c r="R36" t="str" cm="1">
        <f t="array" ref="R36">IF(E36&lt;&gt;"",IF(COUNTIFS($E$2:E36,E36,$F$2:F36,"&gt;="&amp;DATE(YEAR(F36),1,1),$F$2:F36,"&lt;="&amp;DATE(YEAR(Q:QF36),12,31))&lt;=6,0,IF(COUNTIFS($E$2:E36,E36,$F$2:F36,"&gt;="&amp;DATE(YEAR(F36),1,1),$F$2:F36,"&lt;="&amp;DATE(YEAR(F36),12,31))&lt;=15,-0.1,IF(COUNTIFS($E$2:E36,E36,$F$2:F36,"&gt;="&amp;DATE(YEAR(F36),1,1),$F$2:F36,"&lt;="&amp;DATE(YEAR(F36),12,31))&lt;=30,-0.15,IF(COUNTIFS($E$2:E36,E36,$F$2:F36,"&gt;="&amp;DATE(YEAR(F36),1,1),$F$2:F36,"&lt;="&amp;DATE(YEAR(F36),12,31))&lt;=60,-0.2,IF(COUNTIFS($E$2:E36,E36,$F$2:F36,"&gt;="&amp;DATE(YEAR(F36),1,1),$F$2:F36,"&lt;="&amp;DATE(YEAR(F36),12,31))&lt;=120,-0.25,-0.3))))),"")</f>
        <v/>
      </c>
      <c r="S36" t="str">
        <f t="shared" si="4"/>
        <v/>
      </c>
      <c r="T36" t="str">
        <f t="shared" si="5"/>
        <v/>
      </c>
      <c r="U36" t="str">
        <f t="shared" si="6"/>
        <v/>
      </c>
      <c r="V36" t="str">
        <f t="shared" si="7"/>
        <v/>
      </c>
      <c r="W36" t="str">
        <f t="shared" si="8"/>
        <v/>
      </c>
      <c r="X36" t="str">
        <f t="shared" si="9"/>
        <v/>
      </c>
    </row>
    <row r="37" spans="3:24" x14ac:dyDescent="0.35">
      <c r="C37" t="str">
        <f>IF(B37&lt;&gt;"",VLOOKUP(B37,Tableau3[#All],2,0),"")</f>
        <v/>
      </c>
      <c r="D37" t="str">
        <f t="shared" si="0"/>
        <v/>
      </c>
      <c r="K37" t="str">
        <f>IF(E37&lt;&gt;"",VLOOKUP(E37,'Caractéristique navire de pêche'!$B:$E,3,0),"")</f>
        <v/>
      </c>
      <c r="L37" t="s">
        <v>27</v>
      </c>
      <c r="M37" t="str">
        <f>IF(E37&lt;&gt;"",_xlfn.LET(_xlpm.te_reel,VLOOKUP(E37,Tableau13[[#All],[Nom du Navire ]:[Tirant d''eau (m)]],4,0),_xlpm.longueur,VLOOKUP(E37,Tableau13[[#All],[Nom du Navire ]:[Tirant d''eau (m)]],2,0),_xlpm.largeur,VLOOKUP(E37,Tableau13[[#All],[Nom du Navire ]:[Tirant d''eau (m)]],3,0),_xlpm.te_theorique,0.14*SQRT(_xlpm.longueur*_xlpm.largeur),IF(_xlpm.te_reel&gt;=_xlpm.te_theorique,_xlpm.te_reel,ROUND(_xlpm.te_theorique,2))),"")</f>
        <v/>
      </c>
      <c r="N37" t="str">
        <f t="shared" si="1"/>
        <v/>
      </c>
      <c r="O37" t="str">
        <f t="shared" si="2"/>
        <v/>
      </c>
      <c r="P37" t="str">
        <f t="shared" si="3"/>
        <v/>
      </c>
      <c r="Q37" t="str">
        <f t="shared" si="10"/>
        <v/>
      </c>
      <c r="R37" t="str" cm="1">
        <f t="array" ref="R37">IF(E37&lt;&gt;"",IF(COUNTIFS($E$2:E37,E37,$F$2:F37,"&gt;="&amp;DATE(YEAR(F37),1,1),$F$2:F37,"&lt;="&amp;DATE(YEAR(Q:QF37),12,31))&lt;=6,0,IF(COUNTIFS($E$2:E37,E37,$F$2:F37,"&gt;="&amp;DATE(YEAR(F37),1,1),$F$2:F37,"&lt;="&amp;DATE(YEAR(F37),12,31))&lt;=15,-0.1,IF(COUNTIFS($E$2:E37,E37,$F$2:F37,"&gt;="&amp;DATE(YEAR(F37),1,1),$F$2:F37,"&lt;="&amp;DATE(YEAR(F37),12,31))&lt;=30,-0.15,IF(COUNTIFS($E$2:E37,E37,$F$2:F37,"&gt;="&amp;DATE(YEAR(F37),1,1),$F$2:F37,"&lt;="&amp;DATE(YEAR(F37),12,31))&lt;=60,-0.2,IF(COUNTIFS($E$2:E37,E37,$F$2:F37,"&gt;="&amp;DATE(YEAR(F37),1,1),$F$2:F37,"&lt;="&amp;DATE(YEAR(F37),12,31))&lt;=120,-0.25,-0.3))))),"")</f>
        <v/>
      </c>
      <c r="S37" t="str">
        <f t="shared" si="4"/>
        <v/>
      </c>
      <c r="T37" t="str">
        <f t="shared" si="5"/>
        <v/>
      </c>
      <c r="U37" t="str">
        <f t="shared" si="6"/>
        <v/>
      </c>
      <c r="V37" t="str">
        <f t="shared" si="7"/>
        <v/>
      </c>
      <c r="W37" t="str">
        <f t="shared" si="8"/>
        <v/>
      </c>
      <c r="X37" t="str">
        <f t="shared" si="9"/>
        <v/>
      </c>
    </row>
    <row r="38" spans="3:24" x14ac:dyDescent="0.35">
      <c r="C38" t="str">
        <f>IF(B38&lt;&gt;"",VLOOKUP(B38,Tableau3[#All],2,0),"")</f>
        <v/>
      </c>
      <c r="D38" t="str">
        <f t="shared" si="0"/>
        <v/>
      </c>
      <c r="K38" t="str">
        <f>IF(E38&lt;&gt;"",VLOOKUP(E38,'Caractéristique navire de pêche'!$B:$E,3,0),"")</f>
        <v/>
      </c>
      <c r="L38" t="s">
        <v>27</v>
      </c>
      <c r="M38" t="str">
        <f>IF(E38&lt;&gt;"",_xlfn.LET(_xlpm.te_reel,VLOOKUP(E38,Tableau13[[#All],[Nom du Navire ]:[Tirant d''eau (m)]],4,0),_xlpm.longueur,VLOOKUP(E38,Tableau13[[#All],[Nom du Navire ]:[Tirant d''eau (m)]],2,0),_xlpm.largeur,VLOOKUP(E38,Tableau13[[#All],[Nom du Navire ]:[Tirant d''eau (m)]],3,0),_xlpm.te_theorique,0.14*SQRT(_xlpm.longueur*_xlpm.largeur),IF(_xlpm.te_reel&gt;=_xlpm.te_theorique,_xlpm.te_reel,ROUND(_xlpm.te_theorique,2))),"")</f>
        <v/>
      </c>
      <c r="N38" t="str">
        <f t="shared" si="1"/>
        <v/>
      </c>
      <c r="O38" t="str">
        <f t="shared" si="2"/>
        <v/>
      </c>
      <c r="P38" t="str">
        <f t="shared" si="3"/>
        <v/>
      </c>
      <c r="Q38" t="str">
        <f t="shared" si="10"/>
        <v/>
      </c>
      <c r="R38" t="str" cm="1">
        <f t="array" ref="R38">IF(E38&lt;&gt;"",IF(COUNTIFS($E$2:E38,E38,$F$2:F38,"&gt;="&amp;DATE(YEAR(F38),1,1),$F$2:F38,"&lt;="&amp;DATE(YEAR(Q:QF38),12,31))&lt;=6,0,IF(COUNTIFS($E$2:E38,E38,$F$2:F38,"&gt;="&amp;DATE(YEAR(F38),1,1),$F$2:F38,"&lt;="&amp;DATE(YEAR(F38),12,31))&lt;=15,-0.1,IF(COUNTIFS($E$2:E38,E38,$F$2:F38,"&gt;="&amp;DATE(YEAR(F38),1,1),$F$2:F38,"&lt;="&amp;DATE(YEAR(F38),12,31))&lt;=30,-0.15,IF(COUNTIFS($E$2:E38,E38,$F$2:F38,"&gt;="&amp;DATE(YEAR(F38),1,1),$F$2:F38,"&lt;="&amp;DATE(YEAR(F38),12,31))&lt;=60,-0.2,IF(COUNTIFS($E$2:E38,E38,$F$2:F38,"&gt;="&amp;DATE(YEAR(F38),1,1),$F$2:F38,"&lt;="&amp;DATE(YEAR(F38),12,31))&lt;=120,-0.25,-0.3))))),"")</f>
        <v/>
      </c>
      <c r="S38" t="str">
        <f t="shared" si="4"/>
        <v/>
      </c>
      <c r="T38" t="str">
        <f t="shared" si="5"/>
        <v/>
      </c>
      <c r="U38" t="str">
        <f t="shared" si="6"/>
        <v/>
      </c>
      <c r="V38" t="str">
        <f t="shared" si="7"/>
        <v/>
      </c>
      <c r="W38" t="str">
        <f t="shared" si="8"/>
        <v/>
      </c>
      <c r="X38" t="str">
        <f t="shared" si="9"/>
        <v/>
      </c>
    </row>
  </sheetData>
  <dataValidations count="4">
    <dataValidation type="decimal" allowBlank="1" showInputMessage="1" showErrorMessage="1" errorTitle="Format incorrect " error="Veuillez entrer le tonnage en tonnes uniquement " promptTitle="Tonnage" prompt="Entrez le tonnage en tonnes (ex:1,5 pour 1,5 tonnes)" sqref="J1:J1048576" xr:uid="{1DC9575D-39AB-4BCE-839B-E9908BB5F13D}">
      <formula1>0</formula1>
      <formula2>50</formula2>
    </dataValidation>
    <dataValidation type="list" allowBlank="1" showInputMessage="1" showErrorMessage="1" sqref="B2" xr:uid="{2734802A-40BB-4A87-BEAF-4E02CCBB6D81}">
      <formula1>"DSK Fish,Poissonnerie Bapte,Delta Transit"</formula1>
    </dataValidation>
    <dataValidation type="list" allowBlank="1" showInputMessage="1" showErrorMessage="1" sqref="E2" xr:uid="{354C5369-856C-4B47-87A2-14D6AB54ABF4}">
      <formula1>"PATHFINDER,NATHALIA,SAMANTHA DEL VALLEE;ARACELYS MARIA,EL SUR,DON CRUZ,QUEEN MARY,MARIA CELIS 3;MARIA CELIS 2,MARIA CELIS 4,MAYELEWO,EL SUR,DON FAUSTINO"</formula1>
    </dataValidation>
    <dataValidation allowBlank="1" showInputMessage="1" showErrorMessage="1" sqref="C2:D2" xr:uid="{CD4E53B9-1C11-42A8-B01E-2460C3DFF017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8872-91E8-49A7-BF70-883F96B227DE}">
  <dimension ref="A1:E15"/>
  <sheetViews>
    <sheetView tabSelected="1" topLeftCell="B1" zoomScale="142" workbookViewId="0">
      <selection activeCell="B6" sqref="B6"/>
    </sheetView>
  </sheetViews>
  <sheetFormatPr baseColWidth="10" defaultColWidth="8.81640625" defaultRowHeight="14.5" x14ac:dyDescent="0.35"/>
  <cols>
    <col min="1" max="1" width="18.6328125" hidden="1" customWidth="1"/>
    <col min="2" max="2" width="28.453125" customWidth="1"/>
    <col min="3" max="3" width="27.453125" customWidth="1"/>
    <col min="4" max="4" width="26.453125" customWidth="1"/>
    <col min="5" max="5" width="19.81640625" customWidth="1"/>
  </cols>
  <sheetData>
    <row r="1" spans="1:5" ht="17.5" x14ac:dyDescent="0.35">
      <c r="A1" s="4" t="s">
        <v>28</v>
      </c>
      <c r="B1" s="5" t="s">
        <v>29</v>
      </c>
      <c r="C1" s="5" t="s">
        <v>30</v>
      </c>
      <c r="D1" s="6" t="s">
        <v>31</v>
      </c>
      <c r="E1" s="4" t="s">
        <v>32</v>
      </c>
    </row>
    <row r="2" spans="1:5" x14ac:dyDescent="0.35">
      <c r="A2" s="7" t="s">
        <v>25</v>
      </c>
      <c r="B2" s="8" t="s">
        <v>26</v>
      </c>
      <c r="C2" s="8">
        <v>14.5</v>
      </c>
      <c r="D2" s="9">
        <v>4.3899999999999997</v>
      </c>
      <c r="E2" s="7">
        <v>1.8</v>
      </c>
    </row>
    <row r="3" spans="1:5" x14ac:dyDescent="0.35">
      <c r="A3" s="7" t="s">
        <v>25</v>
      </c>
      <c r="B3" s="8" t="s">
        <v>33</v>
      </c>
      <c r="C3" s="8">
        <v>14</v>
      </c>
      <c r="D3" s="8">
        <v>5.5</v>
      </c>
      <c r="E3" s="8">
        <v>2</v>
      </c>
    </row>
    <row r="4" spans="1:5" x14ac:dyDescent="0.35">
      <c r="A4" s="7" t="s">
        <v>34</v>
      </c>
      <c r="B4" s="8" t="s">
        <v>35</v>
      </c>
      <c r="C4" s="12">
        <v>18.5</v>
      </c>
      <c r="D4" s="12">
        <v>5.18</v>
      </c>
      <c r="E4" s="12">
        <v>2.4</v>
      </c>
    </row>
    <row r="5" spans="1:5" x14ac:dyDescent="0.35">
      <c r="A5" s="7" t="s">
        <v>34</v>
      </c>
      <c r="B5" s="8" t="s">
        <v>36</v>
      </c>
      <c r="C5" s="8">
        <v>14.5</v>
      </c>
      <c r="D5" s="8">
        <v>5.5</v>
      </c>
      <c r="E5" s="8">
        <v>2</v>
      </c>
    </row>
    <row r="6" spans="1:5" x14ac:dyDescent="0.35">
      <c r="A6" s="7"/>
      <c r="B6" s="7" t="s">
        <v>53</v>
      </c>
      <c r="C6" s="7">
        <v>15</v>
      </c>
      <c r="D6" s="14">
        <v>4.3499999999999996</v>
      </c>
      <c r="E6" s="15">
        <v>1.85</v>
      </c>
    </row>
    <row r="7" spans="1:5" x14ac:dyDescent="0.35">
      <c r="A7" s="7" t="s">
        <v>34</v>
      </c>
      <c r="B7" s="8" t="s">
        <v>37</v>
      </c>
      <c r="C7" s="13">
        <v>18.7</v>
      </c>
      <c r="D7" s="13">
        <v>5.45</v>
      </c>
      <c r="E7" s="13">
        <v>2.5</v>
      </c>
    </row>
    <row r="8" spans="1:5" x14ac:dyDescent="0.35">
      <c r="A8" s="7" t="s">
        <v>34</v>
      </c>
      <c r="B8" s="8" t="s">
        <v>38</v>
      </c>
      <c r="C8" s="13">
        <v>17.8</v>
      </c>
      <c r="D8" s="13">
        <v>5.3</v>
      </c>
      <c r="E8" s="13">
        <v>1.97</v>
      </c>
    </row>
    <row r="9" spans="1:5" x14ac:dyDescent="0.35">
      <c r="A9" s="7" t="s">
        <v>34</v>
      </c>
      <c r="B9" s="8" t="s">
        <v>39</v>
      </c>
      <c r="C9" s="8">
        <v>0</v>
      </c>
      <c r="D9" s="8">
        <v>0</v>
      </c>
      <c r="E9" s="8">
        <v>0</v>
      </c>
    </row>
    <row r="10" spans="1:5" x14ac:dyDescent="0.35">
      <c r="A10" s="7" t="s">
        <v>34</v>
      </c>
      <c r="B10" s="8" t="s">
        <v>40</v>
      </c>
      <c r="C10" s="8">
        <v>14</v>
      </c>
      <c r="D10" s="8">
        <v>5.5</v>
      </c>
      <c r="E10" s="8">
        <v>2</v>
      </c>
    </row>
    <row r="11" spans="1:5" x14ac:dyDescent="0.35">
      <c r="A11" s="7" t="s">
        <v>41</v>
      </c>
      <c r="B11" s="8" t="s">
        <v>42</v>
      </c>
      <c r="C11" s="13">
        <v>14.2</v>
      </c>
      <c r="D11" s="13">
        <v>4.57</v>
      </c>
      <c r="E11" s="13">
        <v>2.13</v>
      </c>
    </row>
    <row r="12" spans="1:5" x14ac:dyDescent="0.35">
      <c r="A12" s="7" t="s">
        <v>41</v>
      </c>
      <c r="B12" s="8" t="s">
        <v>43</v>
      </c>
      <c r="C12" s="8">
        <v>17</v>
      </c>
      <c r="D12" s="8">
        <v>4.8</v>
      </c>
      <c r="E12" s="8">
        <v>2.15</v>
      </c>
    </row>
    <row r="13" spans="1:5" x14ac:dyDescent="0.35">
      <c r="A13" s="7" t="s">
        <v>41</v>
      </c>
      <c r="B13" s="8" t="s">
        <v>44</v>
      </c>
      <c r="C13" s="8">
        <v>18.77</v>
      </c>
      <c r="D13" s="8">
        <v>5.25</v>
      </c>
      <c r="E13" s="8">
        <v>2.42</v>
      </c>
    </row>
    <row r="14" spans="1:5" x14ac:dyDescent="0.35">
      <c r="A14" s="7" t="s">
        <v>41</v>
      </c>
      <c r="B14" s="8" t="s">
        <v>45</v>
      </c>
      <c r="C14" s="8">
        <v>16.809999999999999</v>
      </c>
      <c r="D14" s="8">
        <v>5.2</v>
      </c>
      <c r="E14" s="8">
        <v>2.31</v>
      </c>
    </row>
    <row r="15" spans="1:5" x14ac:dyDescent="0.35">
      <c r="A15" s="10" t="s">
        <v>25</v>
      </c>
      <c r="B15" s="8" t="s">
        <v>46</v>
      </c>
      <c r="C15" s="11">
        <v>13.9</v>
      </c>
      <c r="D15" s="9">
        <v>4.7</v>
      </c>
      <c r="E15" s="10">
        <v>2</v>
      </c>
    </row>
  </sheetData>
  <dataValidations count="2">
    <dataValidation type="list" allowBlank="1" showInputMessage="1" showErrorMessage="1" sqref="A2:A15" xr:uid="{E2910900-9C30-4A18-9496-476E3FB8CC0C}">
      <formula1>"DSK Fish,Poissonnerie Bapte,Delta Transit"</formula1>
    </dataValidation>
    <dataValidation type="list" allowBlank="1" showInputMessage="1" showErrorMessage="1" sqref="B2:B15" xr:uid="{9CBFDF41-04DC-4A2C-BFA5-AF229712E91E}">
      <formula1>"LA DIOSA,PATHFINDER,NATHALIA,SAMANTHA DEL VALLEE,ARACELYS MARIA,EL SUR,DON CRUZ,QUEEN MARY,MARIA CELIS 3,MARIA CELIS 2,MARIA CELIS 4,MAYELEWO,EL SUR,DON FAUSTINO"</formula1>
    </dataValidation>
  </dataValidations>
  <pageMargins left="0.7" right="0.7" top="0.75" bottom="0.75" header="0.3" footer="0.3"/>
  <ignoredErrors>
    <ignoredError sqref="B6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5B26-F7E2-4470-95CE-93C18E346372}">
  <dimension ref="A1:D4"/>
  <sheetViews>
    <sheetView workbookViewId="0">
      <selection activeCell="A5" sqref="A5"/>
    </sheetView>
  </sheetViews>
  <sheetFormatPr baseColWidth="10" defaultColWidth="8.81640625" defaultRowHeight="14.5" x14ac:dyDescent="0.35"/>
  <cols>
    <col min="1" max="1" width="18.36328125" customWidth="1"/>
    <col min="2" max="2" width="74.453125" customWidth="1"/>
  </cols>
  <sheetData>
    <row r="1" spans="1:4" x14ac:dyDescent="0.35">
      <c r="A1" t="s">
        <v>47</v>
      </c>
      <c r="B1" t="s">
        <v>48</v>
      </c>
    </row>
    <row r="2" spans="1:4" x14ac:dyDescent="0.35">
      <c r="A2" t="s">
        <v>25</v>
      </c>
      <c r="B2" t="s">
        <v>49</v>
      </c>
      <c r="D2" t="str">
        <f>IF(C2&lt;&gt;"",VLOOKUP(C2,Tableau3[#All],2,0),"")</f>
        <v/>
      </c>
    </row>
    <row r="3" spans="1:4" x14ac:dyDescent="0.35">
      <c r="A3" t="s">
        <v>41</v>
      </c>
      <c r="B3" t="s">
        <v>50</v>
      </c>
    </row>
    <row r="4" spans="1:4" x14ac:dyDescent="0.35">
      <c r="A4" t="s">
        <v>51</v>
      </c>
      <c r="B4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Declaration</vt:lpstr>
      <vt:lpstr>Caractéristique navire de pêche</vt:lpstr>
      <vt:lpstr>adresse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Lauriane LV. VAILLANT</dc:creator>
  <cp:keywords/>
  <dc:description/>
  <cp:lastModifiedBy>Lauriane LV. VAILLANT</cp:lastModifiedBy>
  <cp:revision/>
  <dcterms:created xsi:type="dcterms:W3CDTF">2026-04-17T14:58:38Z</dcterms:created>
  <dcterms:modified xsi:type="dcterms:W3CDTF">2026-09-22T20:06:53Z</dcterms:modified>
  <cp:category/>
  <cp:contentStatus/>
</cp:coreProperties>
</file>